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Documents\Coding\Python\Bachelor\Thesis\"/>
    </mc:Choice>
  </mc:AlternateContent>
  <xr:revisionPtr revIDLastSave="0" documentId="13_ncr:1_{8BA52EE0-4A40-49E4-8913-BB42DE32E1F5}" xr6:coauthVersionLast="47" xr6:coauthVersionMax="47" xr10:uidLastSave="{00000000-0000-0000-0000-000000000000}"/>
  <bookViews>
    <workbookView xWindow="-110" yWindow="-110" windowWidth="19420" windowHeight="11500" xr2:uid="{D4B319D3-4CDC-4AA8-90B4-403CDF3E49C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9" i="1" l="1"/>
  <c r="J119" i="1"/>
  <c r="I119" i="1"/>
  <c r="H119" i="1"/>
  <c r="H148" i="1"/>
  <c r="I148" i="1" s="1"/>
  <c r="H149" i="1"/>
  <c r="I149" i="1" s="1"/>
  <c r="H150" i="1"/>
  <c r="I150" i="1" s="1"/>
  <c r="H84" i="1"/>
  <c r="F126" i="1" s="1"/>
  <c r="H78" i="1"/>
  <c r="E126" i="1" s="1"/>
  <c r="J112" i="1"/>
  <c r="K112" i="1" s="1"/>
  <c r="I112" i="1"/>
  <c r="H112" i="1"/>
  <c r="J111" i="1"/>
  <c r="K111" i="1" s="1"/>
  <c r="I111" i="1"/>
  <c r="H111" i="1"/>
  <c r="J108" i="1"/>
  <c r="K108" i="1" s="1"/>
  <c r="I108" i="1"/>
  <c r="H108" i="1"/>
  <c r="I223" i="1"/>
  <c r="H223" i="1"/>
  <c r="I222" i="1"/>
  <c r="H222" i="1"/>
  <c r="I221" i="1"/>
  <c r="H221" i="1"/>
  <c r="I217" i="1"/>
  <c r="H217" i="1"/>
  <c r="I216" i="1"/>
  <c r="H216" i="1"/>
  <c r="I215" i="1"/>
  <c r="H215" i="1"/>
  <c r="I211" i="1"/>
  <c r="H211" i="1"/>
  <c r="I210" i="1"/>
  <c r="H210" i="1"/>
  <c r="I209" i="1"/>
  <c r="H209" i="1"/>
  <c r="I205" i="1"/>
  <c r="H205" i="1"/>
  <c r="I204" i="1"/>
  <c r="H204" i="1"/>
  <c r="I203" i="1"/>
  <c r="H203" i="1"/>
  <c r="J95" i="1"/>
  <c r="K95" i="1" s="1"/>
  <c r="H131" i="1" s="1"/>
  <c r="J89" i="1"/>
  <c r="K89" i="1" s="1"/>
  <c r="G131" i="1" s="1"/>
  <c r="H90" i="1"/>
  <c r="G126" i="1" s="1"/>
  <c r="H95" i="1"/>
  <c r="H125" i="1" s="1"/>
  <c r="H96" i="1"/>
  <c r="H126" i="1" s="1"/>
  <c r="H89" i="1"/>
  <c r="G125" i="1" s="1"/>
  <c r="J104" i="1"/>
  <c r="K104" i="1" s="1"/>
  <c r="I104" i="1"/>
  <c r="H104" i="1"/>
  <c r="J103" i="1"/>
  <c r="K103" i="1" s="1"/>
  <c r="I103" i="1"/>
  <c r="H103" i="1"/>
  <c r="J102" i="1"/>
  <c r="K102" i="1" s="1"/>
  <c r="I102" i="1"/>
  <c r="H102" i="1"/>
  <c r="J101" i="1"/>
  <c r="K101" i="1" s="1"/>
  <c r="I101" i="1"/>
  <c r="H101" i="1"/>
  <c r="J100" i="1"/>
  <c r="K100" i="1" s="1"/>
  <c r="I100" i="1"/>
  <c r="H100" i="1"/>
  <c r="I198" i="1"/>
  <c r="I199" i="1"/>
  <c r="I197" i="1"/>
  <c r="H198" i="1"/>
  <c r="H199" i="1"/>
  <c r="H197" i="1"/>
  <c r="J96" i="1"/>
  <c r="K96" i="1" s="1"/>
  <c r="H132" i="1" s="1"/>
  <c r="J94" i="1"/>
  <c r="K94" i="1" s="1"/>
  <c r="H130" i="1" s="1"/>
  <c r="J90" i="1"/>
  <c r="K90" i="1" s="1"/>
  <c r="G132" i="1" s="1"/>
  <c r="J88" i="1"/>
  <c r="K88" i="1" s="1"/>
  <c r="G130" i="1" s="1"/>
  <c r="J84" i="1"/>
  <c r="K84" i="1" s="1"/>
  <c r="F132" i="1" s="1"/>
  <c r="J83" i="1"/>
  <c r="K83" i="1" s="1"/>
  <c r="F131" i="1" s="1"/>
  <c r="J82" i="1"/>
  <c r="K82" i="1" s="1"/>
  <c r="F130" i="1" s="1"/>
  <c r="J78" i="1"/>
  <c r="K78" i="1" s="1"/>
  <c r="E132" i="1" s="1"/>
  <c r="J77" i="1"/>
  <c r="K77" i="1" s="1"/>
  <c r="E131" i="1" s="1"/>
  <c r="J76" i="1"/>
  <c r="K76" i="1" s="1"/>
  <c r="E130" i="1" s="1"/>
  <c r="J71" i="1"/>
  <c r="K71" i="1" s="1"/>
  <c r="D131" i="1" s="1"/>
  <c r="J72" i="1"/>
  <c r="K72" i="1" s="1"/>
  <c r="D132" i="1" s="1"/>
  <c r="J70" i="1"/>
  <c r="K70" i="1" s="1"/>
  <c r="D130" i="1" s="1"/>
  <c r="I96" i="1"/>
  <c r="I95" i="1"/>
  <c r="I94" i="1"/>
  <c r="I90" i="1"/>
  <c r="I89" i="1"/>
  <c r="I88" i="1"/>
  <c r="I84" i="1"/>
  <c r="I83" i="1"/>
  <c r="I82" i="1"/>
  <c r="I78" i="1"/>
  <c r="I77" i="1"/>
  <c r="I76" i="1"/>
  <c r="I71" i="1"/>
  <c r="I72" i="1"/>
  <c r="I70" i="1"/>
  <c r="H174" i="1"/>
  <c r="I174" i="1" s="1"/>
  <c r="H173" i="1"/>
  <c r="I173" i="1" s="1"/>
  <c r="H172" i="1"/>
  <c r="I172" i="1" s="1"/>
  <c r="H168" i="1"/>
  <c r="I168" i="1" s="1"/>
  <c r="H167" i="1"/>
  <c r="I167" i="1" s="1"/>
  <c r="H166" i="1"/>
  <c r="I166" i="1" s="1"/>
  <c r="H162" i="1"/>
  <c r="I162" i="1" s="1"/>
  <c r="H161" i="1"/>
  <c r="I161" i="1" s="1"/>
  <c r="H160" i="1"/>
  <c r="I160" i="1" s="1"/>
  <c r="H156" i="1"/>
  <c r="I156" i="1" s="1"/>
  <c r="H155" i="1"/>
  <c r="I155" i="1" s="1"/>
  <c r="H154" i="1"/>
  <c r="I154" i="1" s="1"/>
  <c r="H83" i="1"/>
  <c r="F125" i="1" s="1"/>
  <c r="H77" i="1"/>
  <c r="E125" i="1" s="1"/>
  <c r="H71" i="1"/>
  <c r="D125" i="1" s="1"/>
  <c r="H72" i="1"/>
  <c r="D126" i="1" s="1"/>
  <c r="H76" i="1"/>
  <c r="E124" i="1" s="1"/>
  <c r="H94" i="1"/>
  <c r="H124" i="1" s="1"/>
  <c r="H88" i="1"/>
  <c r="G124" i="1" s="1"/>
  <c r="H82" i="1"/>
  <c r="F124" i="1" s="1"/>
  <c r="H70" i="1"/>
  <c r="D124" i="1" s="1"/>
  <c r="G64" i="1"/>
  <c r="G65" i="1"/>
  <c r="G63" i="1"/>
  <c r="E64" i="1"/>
  <c r="E65" i="1"/>
  <c r="E63" i="1"/>
  <c r="G58" i="1"/>
  <c r="H58" i="1" s="1"/>
  <c r="G59" i="1"/>
  <c r="H59" i="1" s="1"/>
  <c r="G57" i="1"/>
  <c r="H57" i="1" s="1"/>
  <c r="M4" i="1"/>
  <c r="M5" i="1"/>
  <c r="M3" i="1"/>
  <c r="G5" i="1"/>
  <c r="G4" i="1"/>
  <c r="G3" i="1"/>
</calcChain>
</file>

<file path=xl/sharedStrings.xml><?xml version="1.0" encoding="utf-8"?>
<sst xmlns="http://schemas.openxmlformats.org/spreadsheetml/2006/main" count="291" uniqueCount="177">
  <si>
    <t>grid_size</t>
  </si>
  <si>
    <t>training without saving</t>
  </si>
  <si>
    <t>normal_q_table</t>
  </si>
  <si>
    <t>split_parent_child</t>
  </si>
  <si>
    <t>reconstruct_q_table</t>
  </si>
  <si>
    <t>Total Time</t>
  </si>
  <si>
    <t>Grid_size</t>
  </si>
  <si>
    <t>2</t>
  </si>
  <si>
    <t>3</t>
  </si>
  <si>
    <t>4</t>
  </si>
  <si>
    <t>times best single out of 1000</t>
  </si>
  <si>
    <t>times best reconstructed out of 1000</t>
  </si>
  <si>
    <t>504</t>
  </si>
  <si>
    <t>496</t>
  </si>
  <si>
    <t>Storage Reduction</t>
  </si>
  <si>
    <t>Grid Size</t>
  </si>
  <si>
    <t>original</t>
  </si>
  <si>
    <t>26</t>
  </si>
  <si>
    <t>161.325</t>
  </si>
  <si>
    <t>19.427</t>
  </si>
  <si>
    <t>parent</t>
  </si>
  <si>
    <t>22</t>
  </si>
  <si>
    <t>9.074</t>
  </si>
  <si>
    <t>170.356</t>
  </si>
  <si>
    <t>child</t>
  </si>
  <si>
    <t>1</t>
  </si>
  <si>
    <t>2.444</t>
  </si>
  <si>
    <t>1.788</t>
  </si>
  <si>
    <t>reconstructed</t>
  </si>
  <si>
    <t>20.223</t>
  </si>
  <si>
    <t>161.845</t>
  </si>
  <si>
    <t>M'</t>
  </si>
  <si>
    <t>Child Abstraction Ratio</t>
  </si>
  <si>
    <t>grid</t>
  </si>
  <si>
    <t>child number states</t>
  </si>
  <si>
    <t>Child abstraction ratio</t>
  </si>
  <si>
    <t>Parent</t>
  </si>
  <si>
    <t>Single_Depth_1</t>
  </si>
  <si>
    <t>Reconstructed_Depth_1</t>
  </si>
  <si>
    <t>Splitting_Depth_1</t>
  </si>
  <si>
    <t>Training_1</t>
  </si>
  <si>
    <t>Total_Time_Depth_1</t>
  </si>
  <si>
    <t>Training_3</t>
  </si>
  <si>
    <t>Single_Depth_3</t>
  </si>
  <si>
    <t>Reconstructed_Depth_3</t>
  </si>
  <si>
    <t>Splitting_Depth_3</t>
  </si>
  <si>
    <t>Total_Time_Depth_3</t>
  </si>
  <si>
    <t>Total_Time_Depth_5</t>
  </si>
  <si>
    <t>Splitting_Depth_5</t>
  </si>
  <si>
    <t>Reconstructed_Depth_5</t>
  </si>
  <si>
    <t>Single_Depth_5</t>
  </si>
  <si>
    <t>Training_5</t>
  </si>
  <si>
    <t>Training_7</t>
  </si>
  <si>
    <t>Single_Depth_7</t>
  </si>
  <si>
    <t>Reconstructed_Depth_7</t>
  </si>
  <si>
    <t>Splitting_Depth_7</t>
  </si>
  <si>
    <t>Total_Time_Depth_7</t>
  </si>
  <si>
    <t>Training_10</t>
  </si>
  <si>
    <t>Single_Depth_10</t>
  </si>
  <si>
    <t>Reconstructed_Depth_10</t>
  </si>
  <si>
    <t>Splitting_Depth_10</t>
  </si>
  <si>
    <t>Total_Time_Depth_10</t>
  </si>
  <si>
    <t>Reconstructed Q-table_Depth_1</t>
  </si>
  <si>
    <t>Normal Q-table_Depth_1</t>
  </si>
  <si>
    <t>Parent-table_Depth_1</t>
  </si>
  <si>
    <t>Child-table_Depth_1</t>
  </si>
  <si>
    <t>Storage (KB)</t>
  </si>
  <si>
    <t>Parent+Child_Depth_1 = M'</t>
  </si>
  <si>
    <t>Normal Q-table_Depth_3</t>
  </si>
  <si>
    <t>Reconstructed Q-table_Depth_3</t>
  </si>
  <si>
    <t>Parent-table_Depth_3</t>
  </si>
  <si>
    <t>Child-table_Depth_3</t>
  </si>
  <si>
    <t>Parent+Child_Depth_3 = M'</t>
  </si>
  <si>
    <t>Parent+Child_Depth_5 = M'</t>
  </si>
  <si>
    <t>Child-table_Depth_5</t>
  </si>
  <si>
    <t>Parent-table_Depth_5</t>
  </si>
  <si>
    <t>Reconstructed Q-table_Depth_5</t>
  </si>
  <si>
    <t>Normal Q-table_Depth_5</t>
  </si>
  <si>
    <t>Normal Q-table_Depth_7</t>
  </si>
  <si>
    <t>Reconstructed Q-table_Depth_7</t>
  </si>
  <si>
    <t>Parent-table_Depth_7</t>
  </si>
  <si>
    <t>Child-table_Depth_7</t>
  </si>
  <si>
    <t>Parent+Child_Depth_7 = M'</t>
  </si>
  <si>
    <t>Normal Q-table_Depth_10</t>
  </si>
  <si>
    <t>Reconstructed Q-table_Depth_10</t>
  </si>
  <si>
    <t>Parent-table_Depth_10</t>
  </si>
  <si>
    <t>Child-table_Depth_10</t>
  </si>
  <si>
    <t>Parent+Child_Depth_10 = M'</t>
  </si>
  <si>
    <t>Time_Without_Abstraction</t>
  </si>
  <si>
    <t>Time_Without_Abstraction_1</t>
  </si>
  <si>
    <t>Time_Without_Abstraction_3</t>
  </si>
  <si>
    <t>Time_Without_Abstraction_5</t>
  </si>
  <si>
    <t>Time_Without_Abstraction_7</t>
  </si>
  <si>
    <t>Time_Without_Abstraction_10</t>
  </si>
  <si>
    <t>Time (s)</t>
  </si>
  <si>
    <t>Time_Overhead</t>
  </si>
  <si>
    <t>Time_Overhead_1</t>
  </si>
  <si>
    <t>Time_Overhead_3</t>
  </si>
  <si>
    <t>Time_Overhead_5</t>
  </si>
  <si>
    <t>Time_Overhead_7</t>
  </si>
  <si>
    <t>Time_Overhead_10</t>
  </si>
  <si>
    <t>Time_Relative_1</t>
  </si>
  <si>
    <t>Time_Relative_3</t>
  </si>
  <si>
    <t>Time_Relative_5</t>
  </si>
  <si>
    <t>Time_Relative_7</t>
  </si>
  <si>
    <t>Time_Relative_10</t>
  </si>
  <si>
    <t>States (# states)</t>
  </si>
  <si>
    <t>Original_States_1</t>
  </si>
  <si>
    <t>Reconstructed_States_1</t>
  </si>
  <si>
    <t>Parent_States_1</t>
  </si>
  <si>
    <t>Child_States_1</t>
  </si>
  <si>
    <t>Child_Abstraction_Ratio_1</t>
  </si>
  <si>
    <t>Parent_To_Child_Ratio_1</t>
  </si>
  <si>
    <t>Training</t>
  </si>
  <si>
    <t>Single</t>
  </si>
  <si>
    <t>Reconstructed</t>
  </si>
  <si>
    <t>Splitting</t>
  </si>
  <si>
    <t>Total_Time</t>
  </si>
  <si>
    <t>Time_Relative</t>
  </si>
  <si>
    <t>Depth</t>
  </si>
  <si>
    <t>5</t>
  </si>
  <si>
    <t>7</t>
  </si>
  <si>
    <t>10</t>
  </si>
  <si>
    <t>Time (s) Grid 2</t>
  </si>
  <si>
    <t>Parent_To_Child_Ratio_3</t>
  </si>
  <si>
    <t>Child_Abstraction_Ratio_3</t>
  </si>
  <si>
    <t>Child_States_3</t>
  </si>
  <si>
    <t>Parent_States_3</t>
  </si>
  <si>
    <t>Reconstructed_States_3</t>
  </si>
  <si>
    <t>Original_States_3</t>
  </si>
  <si>
    <t>Original_States_5</t>
  </si>
  <si>
    <t>Reconstructed_States_5</t>
  </si>
  <si>
    <t>Parent_States_5</t>
  </si>
  <si>
    <t>Child_States_5</t>
  </si>
  <si>
    <t>Child_Abstraction_Ratio_5</t>
  </si>
  <si>
    <t>Parent_To_Child_Ratio_5</t>
  </si>
  <si>
    <t>Parent_To_Child_Ratio_7</t>
  </si>
  <si>
    <t>Child_Abstraction_Ratio_7</t>
  </si>
  <si>
    <t>Child_States_7</t>
  </si>
  <si>
    <t>Parent_States_7</t>
  </si>
  <si>
    <t>Reconstructed_States_7</t>
  </si>
  <si>
    <t>Original_States_7</t>
  </si>
  <si>
    <t>Original_States_10</t>
  </si>
  <si>
    <t>Reconstructed_States_10</t>
  </si>
  <si>
    <t>Parent_States_10</t>
  </si>
  <si>
    <t>Child_States_10</t>
  </si>
  <si>
    <t>Child_Abstraction_Ratio_10</t>
  </si>
  <si>
    <t>Parent_To_Child_Ratio_10</t>
  </si>
  <si>
    <t>States Abstraction Relative to Depth Grid Size 2</t>
  </si>
  <si>
    <t>Original_States</t>
  </si>
  <si>
    <t>Reconstructed_States</t>
  </si>
  <si>
    <t>Parent_States</t>
  </si>
  <si>
    <t>Child_States</t>
  </si>
  <si>
    <t>Child_Abstraction_Ratio</t>
  </si>
  <si>
    <t>Parent_To_Child_Ratio</t>
  </si>
  <si>
    <t>Normal Q-table</t>
  </si>
  <si>
    <t>Reconstructed Q-table</t>
  </si>
  <si>
    <t>Parent-table</t>
  </si>
  <si>
    <t>Child-table</t>
  </si>
  <si>
    <t>Parent+Child = M'</t>
  </si>
  <si>
    <t>Time (s) Grid 3</t>
  </si>
  <si>
    <t>Time (s) Grid 4</t>
  </si>
  <si>
    <t>Storage (KB) Grid 2</t>
  </si>
  <si>
    <t>Total_Time Per Grid Size Per Depth</t>
  </si>
  <si>
    <t>Grid_Size</t>
  </si>
  <si>
    <t>Depth 1</t>
  </si>
  <si>
    <t>Depth 3</t>
  </si>
  <si>
    <t>Depth 5</t>
  </si>
  <si>
    <t>Depth 7</t>
  </si>
  <si>
    <t>Depth 10</t>
  </si>
  <si>
    <t>Time Relativity</t>
  </si>
  <si>
    <t>Storage (KB) Grid 3</t>
  </si>
  <si>
    <t>States Abstraction Relative to Depth Grid Size 3</t>
  </si>
  <si>
    <t xml:space="preserve">Ram Usage (MB) </t>
  </si>
  <si>
    <t>RAM_start</t>
  </si>
  <si>
    <t>RAM_end</t>
  </si>
  <si>
    <t>RAM_peak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</si>
</sst>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0.0000000"/>
    <numFmt numFmtId="166" formatCode="0.000000000000"/>
    <numFmt numFmtId="167" formatCode="0.0000000000000"/>
    <numFmt numFmtId="168" formatCode="0.00000000000000"/>
    <numFmt numFmtId="169" formatCode="0.000000000000000"/>
    <numFmt numFmtId="170" formatCode="0.0000000000000000"/>
    <numFmt numFmtId="171" formatCode="0.00000000000000000"/>
    <numFmt numFmtId="172" formatCode="0.000000000000000000"/>
  </numFmts>
  <fonts count="3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/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171" fontId="2" fillId="0" borderId="0" xfId="0" applyNumberFormat="1" applyFont="1"/>
    <xf numFmtId="172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Relative Time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Tabelle1!$C$2</c:f>
              <c:strCache>
                <c:ptCount val="1"/>
                <c:pt idx="0">
                  <c:v>training without saving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Tabelle1!$C$3:$C$5</c:f>
              <c:numCache>
                <c:formatCode>0.0000000000000</c:formatCode>
                <c:ptCount val="3"/>
                <c:pt idx="0" formatCode="0.00000000000000">
                  <c:v>8.8077797000074707</c:v>
                </c:pt>
                <c:pt idx="1">
                  <c:v>30.133588899989199</c:v>
                </c:pt>
                <c:pt idx="2" formatCode="0.000000">
                  <c:v>136.23701199999999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8-4F3C-B315-6B68A4EF1C4C}"/>
            </c:ext>
          </c:extLst>
        </c:ser>
        <c:ser>
          <c:idx val="1"/>
          <c:order val="1"/>
          <c:tx>
            <c:strRef>
              <c:f>Tabelle1!$D$2</c:f>
              <c:strCache>
                <c:ptCount val="1"/>
                <c:pt idx="0">
                  <c:v>normal_q_table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Tabelle1!$D$3:$D$5</c:f>
              <c:numCache>
                <c:formatCode>0.000000000000000</c:formatCode>
                <c:ptCount val="3"/>
                <c:pt idx="0" formatCode="0.00000000000000000">
                  <c:v>1.68489999487064E-3</c:v>
                </c:pt>
                <c:pt idx="1">
                  <c:v>0.88624789999448605</c:v>
                </c:pt>
                <c:pt idx="2" formatCode="0.0000000">
                  <c:v>6.9733061000000003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8-4F3C-B315-6B68A4EF1C4C}"/>
            </c:ext>
          </c:extLst>
        </c:ser>
        <c:ser>
          <c:idx val="2"/>
          <c:order val="2"/>
          <c:tx>
            <c:strRef>
              <c:f>Tabelle1!$E$2</c:f>
              <c:strCache>
                <c:ptCount val="1"/>
                <c:pt idx="0">
                  <c:v>split_parent_child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Tabelle1!$E$3:$E$5</c:f>
              <c:numCache>
                <c:formatCode>0.000000000000</c:formatCode>
                <c:ptCount val="3"/>
                <c:pt idx="0" formatCode="0.000000000000000">
                  <c:v>0.27619350000168102</c:v>
                </c:pt>
                <c:pt idx="1">
                  <c:v>222.725339099997</c:v>
                </c:pt>
                <c:pt idx="2" formatCode="0.0000000">
                  <c:v>4734.7241799000003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8-4F3C-B315-6B68A4EF1C4C}"/>
            </c:ext>
          </c:extLst>
        </c:ser>
        <c:ser>
          <c:idx val="3"/>
          <c:order val="3"/>
          <c:tx>
            <c:strRef>
              <c:f>Tabelle1!$F$2</c:f>
              <c:strCache>
                <c:ptCount val="1"/>
                <c:pt idx="0">
                  <c:v>reconstruct_q_table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Tabelle1!$F$3:$F$5</c:f>
              <c:numCache>
                <c:formatCode>0.0000000000000</c:formatCode>
                <c:ptCount val="3"/>
                <c:pt idx="0" formatCode="0.0000000000000000">
                  <c:v>2.6017899988801201E-2</c:v>
                </c:pt>
                <c:pt idx="1">
                  <c:v>24.912094699990099</c:v>
                </c:pt>
                <c:pt idx="2" formatCode="0.0000000">
                  <c:v>30.389463299999999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28-4F3C-B315-6B68A4EF1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1742976"/>
        <c:axId val="1301752096"/>
      </c:barChart>
      <c:catAx>
        <c:axId val="130174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</a:t>
                </a:r>
                <a:r>
                  <a:rPr lang="de-AT" baseline="0"/>
                  <a:t>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752096"/>
        <c:crosses val="autoZero"/>
        <c:auto val="1"/>
        <c:lblAlgn val="ctr"/>
        <c:lblOffset val="100"/>
        <c:noMultiLvlLbl val="0"/>
      </c:catAx>
      <c:valAx>
        <c:axId val="13017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74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Tabelle1!$E$2</c:f>
              <c:strCache>
                <c:ptCount val="1"/>
                <c:pt idx="0">
                  <c:v>split_parent_child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Tabelle1!$E$3:$E$5</c:f>
              <c:numCache>
                <c:formatCode>0.000000000000</c:formatCode>
                <c:ptCount val="3"/>
                <c:pt idx="0" formatCode="0.000000000000000">
                  <c:v>0.27619350000168102</c:v>
                </c:pt>
                <c:pt idx="1">
                  <c:v>222.725339099997</c:v>
                </c:pt>
                <c:pt idx="2" formatCode="0.0000000">
                  <c:v>4734.7241799000003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D-4DBC-B807-341C4B4B2D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1693056"/>
        <c:axId val="1301690176"/>
      </c:barChart>
      <c:catAx>
        <c:axId val="130169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90176"/>
        <c:crosses val="autoZero"/>
        <c:auto val="1"/>
        <c:lblAlgn val="ctr"/>
        <c:lblOffset val="100"/>
        <c:noMultiLvlLbl val="0"/>
      </c:catAx>
      <c:valAx>
        <c:axId val="13016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9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Tabelle1!$F$2</c:f>
              <c:strCache>
                <c:ptCount val="1"/>
                <c:pt idx="0">
                  <c:v>reconstruct_q_table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Tabelle1!$F$3:$F$5</c:f>
              <c:numCache>
                <c:formatCode>0.0000000000000</c:formatCode>
                <c:ptCount val="3"/>
                <c:pt idx="0" formatCode="0.0000000000000000">
                  <c:v>2.6017899988801201E-2</c:v>
                </c:pt>
                <c:pt idx="1">
                  <c:v>24.912094699990099</c:v>
                </c:pt>
                <c:pt idx="2" formatCode="0.0000000">
                  <c:v>30.389463299999999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E-4B6B-9197-EF4EA9F282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1679616"/>
        <c:axId val="1301687776"/>
      </c:barChart>
      <c:catAx>
        <c:axId val="130167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</a:t>
                </a:r>
                <a:r>
                  <a:rPr lang="de-AT" baseline="0"/>
                  <a:t>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87776"/>
        <c:crosses val="autoZero"/>
        <c:auto val="1"/>
        <c:lblAlgn val="ctr"/>
        <c:lblOffset val="100"/>
        <c:noMultiLvlLbl val="0"/>
      </c:catAx>
      <c:valAx>
        <c:axId val="13016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</a:t>
                </a:r>
                <a:r>
                  <a:rPr lang="de-AT" baseline="0"/>
                  <a:t> Seconds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A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Total Time For each Grid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Tabelle1!$G$2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Tabelle1!$G$3:$G$5</c:f>
              <c:numCache>
                <c:formatCode>0.000000000000</c:formatCode>
                <c:ptCount val="3"/>
                <c:pt idx="0" formatCode="0.00000000000000">
                  <c:v>9.1116759999928227</c:v>
                </c:pt>
                <c:pt idx="1">
                  <c:v>278.65727059997079</c:v>
                </c:pt>
                <c:pt idx="2" formatCode="0.0000000">
                  <c:v>4908.3239613000005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D-4EFB-AB01-2DA8AA4296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1689216"/>
        <c:axId val="1301677216"/>
      </c:barChart>
      <c:catAx>
        <c:axId val="13016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77216"/>
        <c:crosses val="autoZero"/>
        <c:auto val="1"/>
        <c:lblAlgn val="ctr"/>
        <c:lblOffset val="100"/>
        <c:noMultiLvlLbl val="0"/>
      </c:catAx>
      <c:valAx>
        <c:axId val="13016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Time_Relative_To_Depth_Grid_Size_2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Tabelle1!$D$99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Tabelle1!$D$100:$D$104</c:f>
              <c:numCache>
                <c:formatCode>0.00000000000000000</c:formatCode>
                <c:ptCount val="5"/>
                <c:pt idx="0">
                  <c:v>112.449591199983</c:v>
                </c:pt>
                <c:pt idx="1">
                  <c:v>106.722055099991</c:v>
                </c:pt>
                <c:pt idx="2" formatCode="0.000000000000000000">
                  <c:v>98.522515999997196</c:v>
                </c:pt>
                <c:pt idx="3" formatCode="0.000000000000">
                  <c:v>99.896192599990101</c:v>
                </c:pt>
                <c:pt idx="4" formatCode="0.000000000000">
                  <c:v>101.23285389999999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8-483B-B91C-7AD93489FDE0}"/>
            </c:ext>
          </c:extLst>
        </c:ser>
        <c:ser>
          <c:idx val="1"/>
          <c:order val="1"/>
          <c:tx>
            <c:strRef>
              <c:f>Tabelle1!$E$99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Tabelle1!$E$100:$E$104</c:f>
              <c:numCache>
                <c:formatCode>0.00000000000000000</c:formatCode>
                <c:ptCount val="5"/>
                <c:pt idx="0">
                  <c:v>1.42899999627843E-3</c:v>
                </c:pt>
                <c:pt idx="1">
                  <c:v>1.88490000437013E-3</c:v>
                </c:pt>
                <c:pt idx="2" formatCode="0.000000000000000000">
                  <c:v>1.9183999975211901E-3</c:v>
                </c:pt>
                <c:pt idx="3" formatCode="0.000000000000">
                  <c:v>1.7024999833665699E-3</c:v>
                </c:pt>
                <c:pt idx="4" formatCode="0.000000000000">
                  <c:v>1.64870001026429E-3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8-483B-B91C-7AD93489FDE0}"/>
            </c:ext>
          </c:extLst>
        </c:ser>
        <c:ser>
          <c:idx val="2"/>
          <c:order val="2"/>
          <c:tx>
            <c:strRef>
              <c:f>Tabelle1!$F$99</c:f>
              <c:strCache>
                <c:ptCount val="1"/>
                <c:pt idx="0">
                  <c:v>Reconstructed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Tabelle1!$F$100:$F$104</c:f>
              <c:numCache>
                <c:formatCode>0.00000000000000000</c:formatCode>
                <c:ptCount val="5"/>
                <c:pt idx="0">
                  <c:v>1.40904999861959E-2</c:v>
                </c:pt>
                <c:pt idx="1">
                  <c:v>3.1458100012969198E-2</c:v>
                </c:pt>
                <c:pt idx="2" formatCode="0.000000000000000000">
                  <c:v>4.4192100001964697E-2</c:v>
                </c:pt>
                <c:pt idx="3" formatCode="0.000000000000">
                  <c:v>4.4192100001964697E-2</c:v>
                </c:pt>
                <c:pt idx="4" formatCode="0.000000000000">
                  <c:v>4.1228400019463103E-2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8-483B-B91C-7AD93489FDE0}"/>
            </c:ext>
          </c:extLst>
        </c:ser>
        <c:ser>
          <c:idx val="3"/>
          <c:order val="3"/>
          <c:tx>
            <c:strRef>
              <c:f>Tabelle1!$G$99</c:f>
              <c:strCache>
                <c:ptCount val="1"/>
                <c:pt idx="0">
                  <c:v>Splitting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Tabelle1!$G$100:$G$104</c:f>
              <c:numCache>
                <c:formatCode>0.00000000000000000</c:formatCode>
                <c:ptCount val="5"/>
                <c:pt idx="0">
                  <c:v>0.12420980000751999</c:v>
                </c:pt>
                <c:pt idx="1">
                  <c:v>0.27219430002151002</c:v>
                </c:pt>
                <c:pt idx="2" formatCode="0.000000000000000000">
                  <c:v>0.28554489999078198</c:v>
                </c:pt>
                <c:pt idx="3" formatCode="0.000000000000">
                  <c:v>0.36928970000008099</c:v>
                </c:pt>
                <c:pt idx="4" formatCode="0.000000000000">
                  <c:v>0.50416630000108797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8-483B-B91C-7AD93489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845344"/>
        <c:axId val="87838624"/>
      </c:barChart>
      <c:catAx>
        <c:axId val="8784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Max</a:t>
                </a:r>
                <a:r>
                  <a:rPr lang="de-DE" baseline="0"/>
                  <a:t> </a:t>
                </a: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38624"/>
        <c:crosses val="autoZero"/>
        <c:auto val="1"/>
        <c:lblAlgn val="ctr"/>
        <c:lblOffset val="100"/>
        <c:noMultiLvlLbl val="0"/>
      </c:catAx>
      <c:valAx>
        <c:axId val="878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Procentage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Parent_Child_Abstraction</a:t>
            </a:r>
            <a:r>
              <a:rPr lang="de-DE" baseline="0"/>
              <a:t>_By_PreCalculator_Depth_Grid_2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Tabelle1!$D$226</c:f>
              <c:strCache>
                <c:ptCount val="1"/>
                <c:pt idx="0">
                  <c:v>Original_States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Tabelle1!$C$227:$C$231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Tabelle1!$D$227:$D$231</c:f>
              <c:numCache>
                <c:formatCode>0.00</c:formatCode>
                <c:ptCount val="5"/>
                <c:pt idx="0">
                  <c:v>560</c:v>
                </c:pt>
                <c:pt idx="1">
                  <c:v>564</c:v>
                </c:pt>
                <c:pt idx="2">
                  <c:v>571</c:v>
                </c:pt>
                <c:pt idx="3">
                  <c:v>586</c:v>
                </c:pt>
                <c:pt idx="4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9-4D33-98E1-CBC91A5A838E}"/>
            </c:ext>
          </c:extLst>
        </c:ser>
        <c:ser>
          <c:idx val="1"/>
          <c:order val="1"/>
          <c:tx>
            <c:strRef>
              <c:f>Tabelle1!$E$226</c:f>
              <c:strCache>
                <c:ptCount val="1"/>
                <c:pt idx="0">
                  <c:v>Reconstructed_States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Tabelle1!$C$227:$C$231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Tabelle1!$E$227:$E$231</c:f>
              <c:numCache>
                <c:formatCode>0.00</c:formatCode>
                <c:ptCount val="5"/>
                <c:pt idx="0">
                  <c:v>560</c:v>
                </c:pt>
                <c:pt idx="1">
                  <c:v>564</c:v>
                </c:pt>
                <c:pt idx="2">
                  <c:v>571</c:v>
                </c:pt>
                <c:pt idx="3">
                  <c:v>586</c:v>
                </c:pt>
                <c:pt idx="4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9-4D33-98E1-CBC91A5A838E}"/>
            </c:ext>
          </c:extLst>
        </c:ser>
        <c:ser>
          <c:idx val="2"/>
          <c:order val="2"/>
          <c:tx>
            <c:strRef>
              <c:f>Tabelle1!$F$226</c:f>
              <c:strCache>
                <c:ptCount val="1"/>
                <c:pt idx="0">
                  <c:v>Parent_States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Tabelle1!$C$227:$C$231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Tabelle1!$F$227:$F$231</c:f>
              <c:numCache>
                <c:formatCode>0.00</c:formatCode>
                <c:ptCount val="5"/>
                <c:pt idx="0">
                  <c:v>560</c:v>
                </c:pt>
                <c:pt idx="1">
                  <c:v>482</c:v>
                </c:pt>
                <c:pt idx="2">
                  <c:v>400</c:v>
                </c:pt>
                <c:pt idx="3">
                  <c:v>379</c:v>
                </c:pt>
                <c:pt idx="4">
                  <c:v>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9-4D33-98E1-CBC91A5A838E}"/>
            </c:ext>
          </c:extLst>
        </c:ser>
        <c:ser>
          <c:idx val="3"/>
          <c:order val="3"/>
          <c:tx>
            <c:strRef>
              <c:f>Tabelle1!$G$226</c:f>
              <c:strCache>
                <c:ptCount val="1"/>
                <c:pt idx="0">
                  <c:v>Child_States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Tabelle1!$C$227:$C$231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Tabelle1!$G$227:$G$231</c:f>
              <c:numCache>
                <c:formatCode>0.00</c:formatCode>
                <c:ptCount val="5"/>
                <c:pt idx="0">
                  <c:v>0</c:v>
                </c:pt>
                <c:pt idx="1">
                  <c:v>82</c:v>
                </c:pt>
                <c:pt idx="2">
                  <c:v>171</c:v>
                </c:pt>
                <c:pt idx="3">
                  <c:v>207</c:v>
                </c:pt>
                <c:pt idx="4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9-4D33-98E1-CBC91A5A8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023759"/>
        <c:axId val="941019919"/>
      </c:lineChart>
      <c:catAx>
        <c:axId val="941023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19919"/>
        <c:crosses val="autoZero"/>
        <c:auto val="1"/>
        <c:lblAlgn val="ctr"/>
        <c:lblOffset val="100"/>
        <c:noMultiLvlLbl val="0"/>
      </c:catAx>
      <c:valAx>
        <c:axId val="9410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# 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2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Child_Abstraction_Ratio_Grid_2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Tabelle1!$H$226</c:f>
              <c:strCache>
                <c:ptCount val="1"/>
                <c:pt idx="0">
                  <c:v>Child_Abstraction_Ratio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Tabelle1!$C$227:$C$231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Tabelle1!$H$227:$H$231</c:f>
              <c:numCache>
                <c:formatCode>0.00</c:formatCode>
                <c:ptCount val="5"/>
                <c:pt idx="0">
                  <c:v>0</c:v>
                </c:pt>
                <c:pt idx="1">
                  <c:v>0.1453900709219858</c:v>
                </c:pt>
                <c:pt idx="2">
                  <c:v>0.29947460595446584</c:v>
                </c:pt>
                <c:pt idx="3">
                  <c:v>0.35324232081911261</c:v>
                </c:pt>
                <c:pt idx="4">
                  <c:v>0.36983842010771995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6-4FA2-BABA-74477C706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137039"/>
        <c:axId val="941135599"/>
      </c:lineChart>
      <c:catAx>
        <c:axId val="94113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135599"/>
        <c:crosses val="autoZero"/>
        <c:auto val="1"/>
        <c:lblAlgn val="ctr"/>
        <c:lblOffset val="100"/>
        <c:noMultiLvlLbl val="0"/>
      </c:catAx>
      <c:valAx>
        <c:axId val="9411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13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Parent_To_Child_Ratio_Grid_2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Tabelle1!$I$226</c:f>
              <c:strCache>
                <c:ptCount val="1"/>
                <c:pt idx="0">
                  <c:v>Parent_To_Child_Ratio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Tabelle1!$C$227:$C$231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Tabelle1!$I$227:$I$231</c:f>
              <c:numCache>
                <c:formatCode>0.00</c:formatCode>
                <c:ptCount val="5"/>
                <c:pt idx="0">
                  <c:v>0</c:v>
                </c:pt>
                <c:pt idx="1">
                  <c:v>0.17012448132780084</c:v>
                </c:pt>
                <c:pt idx="2">
                  <c:v>0.42749999999999999</c:v>
                </c:pt>
                <c:pt idx="3">
                  <c:v>0.54617414248021112</c:v>
                </c:pt>
                <c:pt idx="4">
                  <c:v>0.58689458689458684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D-4959-BEFA-06EE3BD6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020399"/>
        <c:axId val="941030959"/>
      </c:lineChart>
      <c:catAx>
        <c:axId val="94102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30959"/>
        <c:crosses val="autoZero"/>
        <c:auto val="1"/>
        <c:lblAlgn val="ctr"/>
        <c:lblOffset val="100"/>
        <c:noMultiLvlLbl val="0"/>
      </c:catAx>
      <c:valAx>
        <c:axId val="9410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2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Storage_Usage_Of_Tables_Gid_2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Tabelle1!$D$177</c:f>
              <c:strCache>
                <c:ptCount val="1"/>
                <c:pt idx="0">
                  <c:v>Normal Q-table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Tabelle1!$D$178:$D$182</c:f>
              <c:numCache>
                <c:formatCode>0.00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7-471E-BC69-EBA1602A9631}"/>
            </c:ext>
          </c:extLst>
        </c:ser>
        <c:ser>
          <c:idx val="1"/>
          <c:order val="1"/>
          <c:tx>
            <c:strRef>
              <c:f>Tabelle1!$E$177</c:f>
              <c:strCache>
                <c:ptCount val="1"/>
                <c:pt idx="0">
                  <c:v>Reconstructed Q-table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Tabelle1!$E$178:$E$182</c:f>
              <c:numCache>
                <c:formatCode>0.00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7-471E-BC69-EBA1602A9631}"/>
            </c:ext>
          </c:extLst>
        </c:ser>
        <c:ser>
          <c:idx val="2"/>
          <c:order val="2"/>
          <c:tx>
            <c:strRef>
              <c:f>Tabelle1!$F$177</c:f>
              <c:strCache>
                <c:ptCount val="1"/>
                <c:pt idx="0">
                  <c:v>Parent-table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Tabelle1!$F$178:$F$182</c:f>
              <c:numCache>
                <c:formatCode>0.00</c:formatCode>
                <c:ptCount val="5"/>
                <c:pt idx="0">
                  <c:v>28</c:v>
                </c:pt>
                <c:pt idx="1">
                  <c:v>24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7-471E-BC69-EBA1602A9631}"/>
            </c:ext>
          </c:extLst>
        </c:ser>
        <c:ser>
          <c:idx val="3"/>
          <c:order val="3"/>
          <c:tx>
            <c:strRef>
              <c:f>Tabelle1!$G$177</c:f>
              <c:strCache>
                <c:ptCount val="1"/>
                <c:pt idx="0">
                  <c:v>Child-table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Tabelle1!$G$178:$G$182</c:f>
              <c:numCache>
                <c:formatCode>0.00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7-471E-BC69-EBA1602A9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1060239"/>
        <c:axId val="941061199"/>
        <c:axId val="0"/>
      </c:bar3DChart>
      <c:catAx>
        <c:axId val="94106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61199"/>
        <c:crosses val="autoZero"/>
        <c:auto val="1"/>
        <c:lblAlgn val="ctr"/>
        <c:lblOffset val="100"/>
        <c:noMultiLvlLbl val="0"/>
      </c:catAx>
      <c:valAx>
        <c:axId val="94106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Storage Space in KB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Time-Relative_To-Depth_Grid_Size_3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Tabelle1!$D$107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Tabelle1!$D$108:$D$112</c:f>
              <c:numCache>
                <c:formatCode>0.00000000000000000</c:formatCode>
                <c:ptCount val="5"/>
                <c:pt idx="0">
                  <c:v>432.46177490000201</c:v>
                </c:pt>
                <c:pt idx="1">
                  <c:v>435.46399859999599</c:v>
                </c:pt>
                <c:pt idx="2" formatCode="0.000000000000000000">
                  <c:v>439.664883499994</c:v>
                </c:pt>
                <c:pt idx="3" formatCode="0.000000000000">
                  <c:v>358.81276109997998</c:v>
                </c:pt>
                <c:pt idx="4" formatCode="0.000000000000">
                  <c:v>355.08468520000997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6-43A1-9C7F-E6FDE4930B9A}"/>
            </c:ext>
          </c:extLst>
        </c:ser>
        <c:ser>
          <c:idx val="1"/>
          <c:order val="1"/>
          <c:tx>
            <c:strRef>
              <c:f>Tabelle1!$E$107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Tabelle1!$E$108:$E$112</c:f>
              <c:numCache>
                <c:formatCode>0.00000000000000000</c:formatCode>
                <c:ptCount val="5"/>
                <c:pt idx="0">
                  <c:v>2.6744585999986099</c:v>
                </c:pt>
                <c:pt idx="1">
                  <c:v>2.8348992000101099</c:v>
                </c:pt>
                <c:pt idx="2" formatCode="0.000000000000000000">
                  <c:v>2.8796669000002999</c:v>
                </c:pt>
                <c:pt idx="3" formatCode="0.000000000000">
                  <c:v>2.4278150000027301</c:v>
                </c:pt>
                <c:pt idx="4" formatCode="0.000000000000">
                  <c:v>2.3933787000132698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6-43A1-9C7F-E6FDE4930B9A}"/>
            </c:ext>
          </c:extLst>
        </c:ser>
        <c:ser>
          <c:idx val="2"/>
          <c:order val="2"/>
          <c:tx>
            <c:strRef>
              <c:f>Tabelle1!$F$107</c:f>
              <c:strCache>
                <c:ptCount val="1"/>
                <c:pt idx="0">
                  <c:v>Reconstructed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Tabelle1!$F$108:$F$112</c:f>
              <c:numCache>
                <c:formatCode>0.00000000000000000</c:formatCode>
                <c:ptCount val="5"/>
                <c:pt idx="0">
                  <c:v>58.425300999981097</c:v>
                </c:pt>
                <c:pt idx="1">
                  <c:v>81.507741900015304</c:v>
                </c:pt>
                <c:pt idx="2" formatCode="0.000000000000000000">
                  <c:v>75.220504099997896</c:v>
                </c:pt>
                <c:pt idx="3" formatCode="0.000000000000">
                  <c:v>99.754166800004896</c:v>
                </c:pt>
                <c:pt idx="4" formatCode="0.000000000000">
                  <c:v>71.329274199990294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6-43A1-9C7F-E6FDE4930B9A}"/>
            </c:ext>
          </c:extLst>
        </c:ser>
        <c:ser>
          <c:idx val="3"/>
          <c:order val="3"/>
          <c:tx>
            <c:strRef>
              <c:f>Tabelle1!$G$107</c:f>
              <c:strCache>
                <c:ptCount val="1"/>
                <c:pt idx="0">
                  <c:v>Splitting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Tabelle1!$G$108:$G$112</c:f>
              <c:numCache>
                <c:formatCode>0.00000000000000000</c:formatCode>
                <c:ptCount val="5"/>
                <c:pt idx="0">
                  <c:v>199.934930000017</c:v>
                </c:pt>
                <c:pt idx="1">
                  <c:v>347.67646899999801</c:v>
                </c:pt>
                <c:pt idx="2" formatCode="0.000000000000000000">
                  <c:v>524.30570260001696</c:v>
                </c:pt>
                <c:pt idx="3" formatCode="0.000000000000">
                  <c:v>730.59805099997902</c:v>
                </c:pt>
                <c:pt idx="4" formatCode="0.000000000000">
                  <c:v>1060.12395100001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6-43A1-9C7F-E6FDE4930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278911"/>
        <c:axId val="1449279871"/>
      </c:barChart>
      <c:catAx>
        <c:axId val="144927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Max</a:t>
                </a:r>
                <a:r>
                  <a:rPr lang="de-DE" baseline="0"/>
                  <a:t> Depth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9279871"/>
        <c:crosses val="autoZero"/>
        <c:auto val="1"/>
        <c:lblAlgn val="ctr"/>
        <c:lblOffset val="100"/>
        <c:noMultiLvlLbl val="0"/>
      </c:catAx>
      <c:valAx>
        <c:axId val="14492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927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Total_Time_Per_Depth</a:t>
            </a:r>
            <a:r>
              <a:rPr lang="de-DE" baseline="0"/>
              <a:t>_in_relation_to_Grid_Size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Tabelle1!$C$124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Tabelle1!$D$123:$H$123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Tabelle1!$D$124:$H$124</c:f>
              <c:numCache>
                <c:formatCode>0.00000000000000000</c:formatCode>
                <c:ptCount val="5"/>
                <c:pt idx="0" formatCode="0.000000000000">
                  <c:v>112.589320499973</c:v>
                </c:pt>
                <c:pt idx="1">
                  <c:v>107.02759240002985</c:v>
                </c:pt>
                <c:pt idx="2">
                  <c:v>98.854171399987464</c:v>
                </c:pt>
                <c:pt idx="3">
                  <c:v>100.31137689997551</c:v>
                </c:pt>
                <c:pt idx="4" formatCode="0.000000000000">
                  <c:v>101.77989730003081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A-4AF7-81BB-0EA92230238A}"/>
            </c:ext>
          </c:extLst>
        </c:ser>
        <c:ser>
          <c:idx val="1"/>
          <c:order val="1"/>
          <c:tx>
            <c:strRef>
              <c:f>Tabelle1!$C$125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Tabelle1!$D$123:$H$123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Tabelle1!$D$125:$H$125</c:f>
              <c:numCache>
                <c:formatCode>0.00000000000000000</c:formatCode>
                <c:ptCount val="5"/>
                <c:pt idx="0" formatCode="0.000000000000">
                  <c:v>693.49646449999875</c:v>
                </c:pt>
                <c:pt idx="1">
                  <c:v>867.48310870001933</c:v>
                </c:pt>
                <c:pt idx="2">
                  <c:v>1042.0707571000091</c:v>
                </c:pt>
                <c:pt idx="3">
                  <c:v>1191.5927938999666</c:v>
                </c:pt>
                <c:pt idx="4" formatCode="0.000000000000">
                  <c:v>1488.9312891000236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A-4AF7-81BB-0EA92230238A}"/>
            </c:ext>
          </c:extLst>
        </c:ser>
        <c:ser>
          <c:idx val="2"/>
          <c:order val="2"/>
          <c:tx>
            <c:strRef>
              <c:f>Tabelle1!$C$126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Tabelle1!$D$123:$H$123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Tabelle1!$D$126:$H$126</c:f>
              <c:numCache>
                <c:formatCode>0.00000000000000000</c:formatCode>
                <c:ptCount val="5"/>
                <c:pt idx="0" formatCode="0.000000000000">
                  <c:v>4421.3268159999707</c:v>
                </c:pt>
                <c:pt idx="1">
                  <c:v>12394.128421799991</c:v>
                </c:pt>
                <c:pt idx="2">
                  <c:v>25115.942279899915</c:v>
                </c:pt>
                <c:pt idx="3">
                  <c:v>53723.03923609983</c:v>
                </c:pt>
                <c:pt idx="4" formatCode="0.000000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6A-4AF7-81BB-0EA922302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160112"/>
        <c:axId val="878163472"/>
      </c:barChart>
      <c:catAx>
        <c:axId val="87816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Max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63472"/>
        <c:crosses val="autoZero"/>
        <c:auto val="1"/>
        <c:lblAlgn val="ctr"/>
        <c:lblOffset val="100"/>
        <c:noMultiLvlLbl val="0"/>
      </c:catAx>
      <c:valAx>
        <c:axId val="8781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6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Storage_Usage_Of_Tables_Grid_3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Tabelle1!$D$185</c:f>
              <c:strCache>
                <c:ptCount val="1"/>
                <c:pt idx="0">
                  <c:v>Normal Q-table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Tabelle1!$D$186:$D$190</c:f>
              <c:numCache>
                <c:formatCode>0.00</c:formatCode>
                <c:ptCount val="5"/>
                <c:pt idx="0">
                  <c:v>44855</c:v>
                </c:pt>
                <c:pt idx="1">
                  <c:v>46056</c:v>
                </c:pt>
                <c:pt idx="2">
                  <c:v>46239</c:v>
                </c:pt>
                <c:pt idx="3">
                  <c:v>46182</c:v>
                </c:pt>
                <c:pt idx="4">
                  <c:v>46053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5-44C1-BA5D-3F7A9369F678}"/>
            </c:ext>
          </c:extLst>
        </c:ser>
        <c:ser>
          <c:idx val="1"/>
          <c:order val="1"/>
          <c:tx>
            <c:strRef>
              <c:f>Tabelle1!$E$185</c:f>
              <c:strCache>
                <c:ptCount val="1"/>
                <c:pt idx="0">
                  <c:v>Reconstructed Q-table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Tabelle1!$E$186:$E$190</c:f>
              <c:numCache>
                <c:formatCode>0.00</c:formatCode>
                <c:ptCount val="5"/>
                <c:pt idx="0">
                  <c:v>46766</c:v>
                </c:pt>
                <c:pt idx="1">
                  <c:v>49082</c:v>
                </c:pt>
                <c:pt idx="2">
                  <c:v>49372</c:v>
                </c:pt>
                <c:pt idx="3">
                  <c:v>49305</c:v>
                </c:pt>
                <c:pt idx="4">
                  <c:v>49149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5-44C1-BA5D-3F7A9369F678}"/>
            </c:ext>
          </c:extLst>
        </c:ser>
        <c:ser>
          <c:idx val="2"/>
          <c:order val="2"/>
          <c:tx>
            <c:strRef>
              <c:f>Tabelle1!$F$185</c:f>
              <c:strCache>
                <c:ptCount val="1"/>
                <c:pt idx="0">
                  <c:v>Parent-table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Tabelle1!$F$186:$F$190</c:f>
              <c:numCache>
                <c:formatCode>0.00</c:formatCode>
                <c:ptCount val="5"/>
                <c:pt idx="0">
                  <c:v>28618</c:v>
                </c:pt>
                <c:pt idx="1">
                  <c:v>13960</c:v>
                </c:pt>
                <c:pt idx="2">
                  <c:v>13644</c:v>
                </c:pt>
                <c:pt idx="3">
                  <c:v>13561</c:v>
                </c:pt>
                <c:pt idx="4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15-44C1-BA5D-3F7A9369F678}"/>
            </c:ext>
          </c:extLst>
        </c:ser>
        <c:ser>
          <c:idx val="3"/>
          <c:order val="3"/>
          <c:tx>
            <c:strRef>
              <c:f>Tabelle1!$G$185</c:f>
              <c:strCache>
                <c:ptCount val="1"/>
                <c:pt idx="0">
                  <c:v>Child-table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Tabelle1!$G$186:$G$190</c:f>
              <c:numCache>
                <c:formatCode>0.00</c:formatCode>
                <c:ptCount val="5"/>
                <c:pt idx="0">
                  <c:v>3511</c:v>
                </c:pt>
                <c:pt idx="1">
                  <c:v>6977</c:v>
                </c:pt>
                <c:pt idx="2">
                  <c:v>7072</c:v>
                </c:pt>
                <c:pt idx="3">
                  <c:v>7065</c:v>
                </c:pt>
                <c:pt idx="4">
                  <c:v>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15-44C1-BA5D-3F7A9369F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8100592"/>
        <c:axId val="878109712"/>
        <c:axId val="0"/>
      </c:bar3DChart>
      <c:catAx>
        <c:axId val="87810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09712"/>
        <c:crosses val="autoZero"/>
        <c:auto val="1"/>
        <c:lblAlgn val="ctr"/>
        <c:lblOffset val="100"/>
        <c:noMultiLvlLbl val="0"/>
      </c:catAx>
      <c:valAx>
        <c:axId val="87810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Storage Space in</a:t>
                </a:r>
                <a:r>
                  <a:rPr lang="de-DE" baseline="0"/>
                  <a:t> KB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0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Parent_Child-Abstraction Grid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Tabelle1!$D$235</c:f>
              <c:strCache>
                <c:ptCount val="1"/>
                <c:pt idx="0">
                  <c:v>Original_States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Tabelle1!$C$236:$C$240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Tabelle1!$D$236:$D$240</c:f>
              <c:numCache>
                <c:formatCode>0.00</c:formatCode>
                <c:ptCount val="5"/>
                <c:pt idx="0">
                  <c:v>807151</c:v>
                </c:pt>
                <c:pt idx="1">
                  <c:v>821613</c:v>
                </c:pt>
                <c:pt idx="2">
                  <c:v>825366</c:v>
                </c:pt>
                <c:pt idx="3">
                  <c:v>824494</c:v>
                </c:pt>
                <c:pt idx="4">
                  <c:v>821334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6-4003-9BE5-8686AEED9007}"/>
            </c:ext>
          </c:extLst>
        </c:ser>
        <c:ser>
          <c:idx val="1"/>
          <c:order val="1"/>
          <c:tx>
            <c:strRef>
              <c:f>Tabelle1!$E$235</c:f>
              <c:strCache>
                <c:ptCount val="1"/>
                <c:pt idx="0">
                  <c:v>Reconstructed_States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Tabelle1!$C$236:$C$240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Tabelle1!$E$236:$E$240</c:f>
              <c:numCache>
                <c:formatCode>0.00</c:formatCode>
                <c:ptCount val="5"/>
                <c:pt idx="0">
                  <c:v>807151</c:v>
                </c:pt>
                <c:pt idx="1">
                  <c:v>821613</c:v>
                </c:pt>
                <c:pt idx="2">
                  <c:v>825366</c:v>
                </c:pt>
                <c:pt idx="3">
                  <c:v>824494</c:v>
                </c:pt>
                <c:pt idx="4">
                  <c:v>821334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6-4003-9BE5-8686AEED9007}"/>
            </c:ext>
          </c:extLst>
        </c:ser>
        <c:ser>
          <c:idx val="2"/>
          <c:order val="2"/>
          <c:tx>
            <c:strRef>
              <c:f>Tabelle1!$F$235</c:f>
              <c:strCache>
                <c:ptCount val="1"/>
                <c:pt idx="0">
                  <c:v>Parent_States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Tabelle1!$C$236:$C$240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Tabelle1!$F$236:$F$240</c:f>
              <c:numCache>
                <c:formatCode>0.00</c:formatCode>
                <c:ptCount val="5"/>
                <c:pt idx="0">
                  <c:v>515751</c:v>
                </c:pt>
                <c:pt idx="1">
                  <c:v>255887</c:v>
                </c:pt>
                <c:pt idx="2">
                  <c:v>250548</c:v>
                </c:pt>
                <c:pt idx="3">
                  <c:v>249231</c:v>
                </c:pt>
                <c:pt idx="4">
                  <c:v>246781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6-4003-9BE5-8686AEED9007}"/>
            </c:ext>
          </c:extLst>
        </c:ser>
        <c:ser>
          <c:idx val="3"/>
          <c:order val="3"/>
          <c:tx>
            <c:strRef>
              <c:f>Tabelle1!$G$235</c:f>
              <c:strCache>
                <c:ptCount val="1"/>
                <c:pt idx="0">
                  <c:v>Child_States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Tabelle1!$C$236:$C$240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Tabelle1!$G$236:$G$240</c:f>
              <c:numCache>
                <c:formatCode>0.00</c:formatCode>
                <c:ptCount val="5"/>
                <c:pt idx="0">
                  <c:v>291400</c:v>
                </c:pt>
                <c:pt idx="1">
                  <c:v>565726</c:v>
                </c:pt>
                <c:pt idx="2">
                  <c:v>574818</c:v>
                </c:pt>
                <c:pt idx="3">
                  <c:v>575263</c:v>
                </c:pt>
                <c:pt idx="4">
                  <c:v>574553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B6-4003-9BE5-8686AEED9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108256"/>
        <c:axId val="691102016"/>
      </c:lineChart>
      <c:catAx>
        <c:axId val="69110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1102016"/>
        <c:crosses val="autoZero"/>
        <c:auto val="1"/>
        <c:lblAlgn val="ctr"/>
        <c:lblOffset val="100"/>
        <c:noMultiLvlLbl val="0"/>
      </c:catAx>
      <c:valAx>
        <c:axId val="6911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# 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11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Child_Abstraction_Ratio_Grid_3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Tabelle1!$H$235</c:f>
              <c:strCache>
                <c:ptCount val="1"/>
                <c:pt idx="0">
                  <c:v>Child_Abstraction_Ratio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Tabelle1!$C$236:$C$240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Tabelle1!$H$236:$H$240</c:f>
              <c:numCache>
                <c:formatCode>0.00</c:formatCode>
                <c:ptCount val="5"/>
                <c:pt idx="0">
                  <c:v>0.36102290649457164</c:v>
                </c:pt>
                <c:pt idx="1">
                  <c:v>0.68855531740612674</c:v>
                </c:pt>
                <c:pt idx="2">
                  <c:v>0.69644012474465877</c:v>
                </c:pt>
                <c:pt idx="3">
                  <c:v>0.69771641758460345</c:v>
                </c:pt>
                <c:pt idx="4">
                  <c:v>0.69953636401269159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2-48F6-8614-29FF76B19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137072"/>
        <c:axId val="878132752"/>
      </c:lineChart>
      <c:catAx>
        <c:axId val="87813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32752"/>
        <c:crosses val="autoZero"/>
        <c:auto val="1"/>
        <c:lblAlgn val="ctr"/>
        <c:lblOffset val="100"/>
        <c:noMultiLvlLbl val="0"/>
      </c:catAx>
      <c:valAx>
        <c:axId val="8781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3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Parent_To_Child_Ratio_Grid_3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Tabelle1!$I$235</c:f>
              <c:strCache>
                <c:ptCount val="1"/>
                <c:pt idx="0">
                  <c:v>Parent_To_Child_Ratio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Tabelle1!$C$236:$C$240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Tabelle1!$I$236:$I$240</c:f>
              <c:numCache>
                <c:formatCode>0.00</c:formatCode>
                <c:ptCount val="5"/>
                <c:pt idx="0">
                  <c:v>0.56500132816029436</c:v>
                </c:pt>
                <c:pt idx="1">
                  <c:v>2.2108430674477404</c:v>
                </c:pt>
                <c:pt idx="2">
                  <c:v>2.2942430193016907</c:v>
                </c:pt>
                <c:pt idx="3">
                  <c:v>2.3081518751680168</c:v>
                </c:pt>
                <c:pt idx="4">
                  <c:v>2.3281897714978057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C-4FC6-B7DA-F91F712BA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111632"/>
        <c:axId val="878107312"/>
      </c:lineChart>
      <c:catAx>
        <c:axId val="87811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07312"/>
        <c:crosses val="autoZero"/>
        <c:auto val="1"/>
        <c:lblAlgn val="ctr"/>
        <c:lblOffset val="100"/>
        <c:noMultiLvlLbl val="0"/>
      </c:catAx>
      <c:valAx>
        <c:axId val="8781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1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Storage Reduction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Tabelle1!$I$177</c:f>
              <c:strCache>
                <c:ptCount val="1"/>
                <c:pt idx="0">
                  <c:v>Storage Reduction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Tabelle1!$I$178:$I$182</c:f>
              <c:numCache>
                <c:formatCode>0.00</c:formatCode>
                <c:ptCount val="5"/>
                <c:pt idx="0">
                  <c:v>-3.5714285714285809E-2</c:v>
                </c:pt>
                <c:pt idx="1">
                  <c:v>0.1071428571428571</c:v>
                </c:pt>
                <c:pt idx="2">
                  <c:v>0.1785714285714286</c:v>
                </c:pt>
                <c:pt idx="3">
                  <c:v>0.2142857142857143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8-4131-B82F-9C80410D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224432"/>
        <c:axId val="878218192"/>
      </c:lineChart>
      <c:catAx>
        <c:axId val="87822443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218192"/>
        <c:crosses val="autoZero"/>
        <c:auto val="1"/>
        <c:lblAlgn val="ctr"/>
        <c:lblOffset val="100"/>
        <c:noMultiLvlLbl val="0"/>
      </c:catAx>
      <c:valAx>
        <c:axId val="8782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22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6</xdr:row>
      <xdr:rowOff>0</xdr:rowOff>
    </xdr:from>
    <xdr:to>
      <xdr:col>5</xdr:col>
      <xdr:colOff>1657350</xdr:colOff>
      <xdr:row>26</xdr:row>
      <xdr:rowOff>28575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910527E-1A3B-C1A4-7FAF-C481B86E0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1976437</xdr:colOff>
      <xdr:row>6</xdr:row>
      <xdr:rowOff>71436</xdr:rowOff>
    </xdr:from>
    <xdr:to>
      <xdr:col>12</xdr:col>
      <xdr:colOff>28575</xdr:colOff>
      <xdr:row>23</xdr:row>
      <xdr:rowOff>95249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1C20A995-9D51-0071-4BE8-5AB28E830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24</xdr:row>
      <xdr:rowOff>80961</xdr:rowOff>
    </xdr:from>
    <xdr:to>
      <xdr:col>12</xdr:col>
      <xdr:colOff>9525</xdr:colOff>
      <xdr:row>41</xdr:row>
      <xdr:rowOff>47624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9E6E65BF-D9AD-8951-2DA0-B78BA2202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76200</xdr:colOff>
      <xdr:row>26</xdr:row>
      <xdr:rowOff>176212</xdr:rowOff>
    </xdr:from>
    <xdr:to>
      <xdr:col>5</xdr:col>
      <xdr:colOff>1666875</xdr:colOff>
      <xdr:row>49</xdr:row>
      <xdr:rowOff>171450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38E0867-EE84-30CD-0CAD-FB966C4BB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379522</xdr:colOff>
      <xdr:row>97</xdr:row>
      <xdr:rowOff>68225</xdr:rowOff>
    </xdr:from>
    <xdr:to>
      <xdr:col>17</xdr:col>
      <xdr:colOff>280581</xdr:colOff>
      <xdr:row>120</xdr:row>
      <xdr:rowOff>147675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6AFC4DB-6A7E-2EFF-0DDB-4EB2FAC81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312795</xdr:colOff>
      <xdr:row>225</xdr:row>
      <xdr:rowOff>43431</xdr:rowOff>
    </xdr:from>
    <xdr:to>
      <xdr:col>11</xdr:col>
      <xdr:colOff>1881480</xdr:colOff>
      <xdr:row>245</xdr:row>
      <xdr:rowOff>23518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5F46351-A5C0-4051-8C1A-456583DEF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2131562</xdr:colOff>
      <xdr:row>225</xdr:row>
      <xdr:rowOff>59111</xdr:rowOff>
    </xdr:from>
    <xdr:to>
      <xdr:col>17</xdr:col>
      <xdr:colOff>314364</xdr:colOff>
      <xdr:row>240</xdr:row>
      <xdr:rowOff>97681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030A4A9-0A4E-6327-4BAE-C33959223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644539</xdr:colOff>
      <xdr:row>224</xdr:row>
      <xdr:rowOff>181111</xdr:rowOff>
    </xdr:from>
    <xdr:to>
      <xdr:col>23</xdr:col>
      <xdr:colOff>394133</xdr:colOff>
      <xdr:row>240</xdr:row>
      <xdr:rowOff>45383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97A470B1-E9A5-2FDB-B4DA-7EA1DEAB6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238882</xdr:colOff>
      <xdr:row>176</xdr:row>
      <xdr:rowOff>19352</xdr:rowOff>
    </xdr:from>
    <xdr:to>
      <xdr:col>11</xdr:col>
      <xdr:colOff>688421</xdr:colOff>
      <xdr:row>200</xdr:row>
      <xdr:rowOff>41124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11D5217B-E1E7-C7FF-653D-C2BFBE61A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377956</xdr:colOff>
      <xdr:row>122</xdr:row>
      <xdr:rowOff>85229</xdr:rowOff>
    </xdr:from>
    <xdr:to>
      <xdr:col>17</xdr:col>
      <xdr:colOff>286398</xdr:colOff>
      <xdr:row>157</xdr:row>
      <xdr:rowOff>68689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6269B85C-08B9-5E5E-25DB-75477270F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553094</xdr:colOff>
      <xdr:row>97</xdr:row>
      <xdr:rowOff>169886</xdr:rowOff>
    </xdr:from>
    <xdr:to>
      <xdr:col>23</xdr:col>
      <xdr:colOff>321181</xdr:colOff>
      <xdr:row>120</xdr:row>
      <xdr:rowOff>62927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89504AE7-3541-A10C-FC2A-8AA120559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900980</xdr:colOff>
      <xdr:row>176</xdr:row>
      <xdr:rowOff>12220</xdr:rowOff>
    </xdr:from>
    <xdr:to>
      <xdr:col>15</xdr:col>
      <xdr:colOff>742829</xdr:colOff>
      <xdr:row>199</xdr:row>
      <xdr:rowOff>143774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1A3938CA-19B8-9471-6641-F04B4B11B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342900</xdr:colOff>
      <xdr:row>246</xdr:row>
      <xdr:rowOff>82550</xdr:rowOff>
    </xdr:from>
    <xdr:to>
      <xdr:col>11</xdr:col>
      <xdr:colOff>1905000</xdr:colOff>
      <xdr:row>264</xdr:row>
      <xdr:rowOff>76200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CBFDE25B-48EB-53DE-172A-61FA5CDB3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2099687</xdr:colOff>
      <xdr:row>247</xdr:row>
      <xdr:rowOff>65873</xdr:rowOff>
    </xdr:from>
    <xdr:to>
      <xdr:col>17</xdr:col>
      <xdr:colOff>276330</xdr:colOff>
      <xdr:row>262</xdr:row>
      <xdr:rowOff>87644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17D82B89-0E71-107F-65A8-2A6E6DBFC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791308</xdr:colOff>
      <xdr:row>247</xdr:row>
      <xdr:rowOff>26620</xdr:rowOff>
    </xdr:from>
    <xdr:to>
      <xdr:col>23</xdr:col>
      <xdr:colOff>527539</xdr:colOff>
      <xdr:row>262</xdr:row>
      <xdr:rowOff>22224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F7B325A9-FA7C-4EEA-E9E4-8EF6E0B1F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242385</xdr:colOff>
      <xdr:row>201</xdr:row>
      <xdr:rowOff>33919</xdr:rowOff>
    </xdr:from>
    <xdr:to>
      <xdr:col>11</xdr:col>
      <xdr:colOff>694629</xdr:colOff>
      <xdr:row>215</xdr:row>
      <xdr:rowOff>175167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72981581-27F5-718F-FA6A-71E991D71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CF9C-842D-4575-AB2D-33AA7D99E5F5}">
  <dimension ref="B2:M249"/>
  <sheetViews>
    <sheetView tabSelected="1" topLeftCell="J91" zoomScale="65" zoomScaleNormal="145" workbookViewId="0">
      <selection activeCell="C98" sqref="C98:K104"/>
    </sheetView>
  </sheetViews>
  <sheetFormatPr baseColWidth="10" defaultColWidth="11.453125" defaultRowHeight="14.5" x14ac:dyDescent="0.35"/>
  <cols>
    <col min="1" max="1" width="11.453125" style="1"/>
    <col min="2" max="2" width="24.81640625" style="1" customWidth="1"/>
    <col min="3" max="3" width="39.81640625" style="1" customWidth="1"/>
    <col min="4" max="4" width="27.7265625" style="1" customWidth="1"/>
    <col min="5" max="5" width="36.54296875" style="1" customWidth="1"/>
    <col min="6" max="6" width="30.26953125" style="1" customWidth="1"/>
    <col min="7" max="7" width="25.7265625" style="1" customWidth="1"/>
    <col min="8" max="8" width="33.453125" style="1" customWidth="1"/>
    <col min="9" max="9" width="26.81640625" style="1" customWidth="1"/>
    <col min="10" max="10" width="31.81640625" style="1" customWidth="1"/>
    <col min="11" max="11" width="27.1796875" style="1" customWidth="1"/>
    <col min="12" max="12" width="34.26953125" style="1" customWidth="1"/>
    <col min="13" max="16384" width="11.453125" style="1"/>
  </cols>
  <sheetData>
    <row r="2" spans="2:13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4" t="s">
        <v>5</v>
      </c>
      <c r="J2" s="1" t="s">
        <v>6</v>
      </c>
      <c r="K2" s="1" t="s">
        <v>10</v>
      </c>
      <c r="L2" s="1" t="s">
        <v>11</v>
      </c>
    </row>
    <row r="3" spans="2:13" x14ac:dyDescent="0.35">
      <c r="B3" s="1">
        <v>2</v>
      </c>
      <c r="C3" s="8">
        <v>8.8077797000074707</v>
      </c>
      <c r="D3" s="11">
        <v>1.68489999487064E-3</v>
      </c>
      <c r="E3" s="9">
        <v>0.27619350000168102</v>
      </c>
      <c r="F3" s="10">
        <v>2.6017899988801201E-2</v>
      </c>
      <c r="G3" s="8">
        <f>SUM(C3:F3)</f>
        <v>9.1116759999928227</v>
      </c>
      <c r="J3" s="4" t="s">
        <v>7</v>
      </c>
      <c r="K3" s="4" t="s">
        <v>12</v>
      </c>
      <c r="L3" s="4" t="s">
        <v>13</v>
      </c>
      <c r="M3" s="4">
        <f>K3+L3</f>
        <v>1000</v>
      </c>
    </row>
    <row r="4" spans="2:13" x14ac:dyDescent="0.35">
      <c r="B4" s="1">
        <v>3</v>
      </c>
      <c r="C4" s="7">
        <v>30.133588899989199</v>
      </c>
      <c r="D4" s="9">
        <v>0.88624789999448605</v>
      </c>
      <c r="E4" s="6">
        <v>222.725339099997</v>
      </c>
      <c r="F4" s="7">
        <v>24.912094699990099</v>
      </c>
      <c r="G4" s="6">
        <f>SUM(C4:F4)</f>
        <v>278.65727059997079</v>
      </c>
      <c r="J4" s="4" t="s">
        <v>8</v>
      </c>
      <c r="K4" s="4">
        <v>499</v>
      </c>
      <c r="L4" s="4">
        <v>501</v>
      </c>
      <c r="M4" s="4">
        <f t="shared" ref="M4:M5" si="0">K4+L4</f>
        <v>1000</v>
      </c>
    </row>
    <row r="5" spans="2:13" x14ac:dyDescent="0.35">
      <c r="B5" s="1">
        <v>4</v>
      </c>
      <c r="C5" s="2">
        <v>136.23701199999999</v>
      </c>
      <c r="D5" s="5">
        <v>6.9733061000000003</v>
      </c>
      <c r="E5" s="3">
        <v>4734.7241799000003</v>
      </c>
      <c r="F5" s="3">
        <v>30.389463299999999</v>
      </c>
      <c r="G5" s="5">
        <f>SUM(C5:F5)</f>
        <v>4908.3239613000005</v>
      </c>
      <c r="J5" s="4" t="s">
        <v>9</v>
      </c>
      <c r="K5" s="4">
        <v>512</v>
      </c>
      <c r="L5" s="4">
        <v>488</v>
      </c>
      <c r="M5" s="4">
        <f t="shared" si="0"/>
        <v>1000</v>
      </c>
    </row>
    <row r="55" spans="2:8" x14ac:dyDescent="0.35">
      <c r="B55" s="1" t="s">
        <v>14</v>
      </c>
    </row>
    <row r="56" spans="2:8" x14ac:dyDescent="0.35">
      <c r="B56" s="1" t="s">
        <v>15</v>
      </c>
      <c r="C56" s="1" t="s">
        <v>16</v>
      </c>
      <c r="D56" s="1" t="s">
        <v>20</v>
      </c>
      <c r="E56" s="1" t="s">
        <v>24</v>
      </c>
      <c r="F56" s="1" t="s">
        <v>28</v>
      </c>
      <c r="G56" s="1" t="s">
        <v>31</v>
      </c>
      <c r="H56" s="1" t="s">
        <v>14</v>
      </c>
    </row>
    <row r="57" spans="2:8" x14ac:dyDescent="0.35">
      <c r="B57" s="1" t="s">
        <v>7</v>
      </c>
      <c r="C57" s="4" t="s">
        <v>17</v>
      </c>
      <c r="D57" s="1" t="s">
        <v>21</v>
      </c>
      <c r="E57" s="1" t="s">
        <v>25</v>
      </c>
      <c r="F57" s="4" t="s">
        <v>17</v>
      </c>
      <c r="G57" s="4">
        <f>D57+E57</f>
        <v>23</v>
      </c>
      <c r="H57" s="4">
        <f>1-G57/C57</f>
        <v>0.11538461538461542</v>
      </c>
    </row>
    <row r="58" spans="2:8" x14ac:dyDescent="0.35">
      <c r="B58" s="1" t="s">
        <v>8</v>
      </c>
      <c r="C58" s="4" t="s">
        <v>19</v>
      </c>
      <c r="D58" s="1" t="s">
        <v>22</v>
      </c>
      <c r="E58" s="1" t="s">
        <v>26</v>
      </c>
      <c r="F58" s="4" t="s">
        <v>29</v>
      </c>
      <c r="G58" s="4">
        <f t="shared" ref="G58:G59" si="1">D58+E58</f>
        <v>11518</v>
      </c>
      <c r="H58" s="4">
        <f t="shared" ref="H58:H59" si="2">1-G58/C58</f>
        <v>0.4071138106758635</v>
      </c>
    </row>
    <row r="59" spans="2:8" x14ac:dyDescent="0.35">
      <c r="B59" s="1" t="s">
        <v>9</v>
      </c>
      <c r="C59" s="4" t="s">
        <v>18</v>
      </c>
      <c r="D59" s="1" t="s">
        <v>23</v>
      </c>
      <c r="E59" s="1" t="s">
        <v>27</v>
      </c>
      <c r="F59" s="4" t="s">
        <v>30</v>
      </c>
      <c r="G59" s="4">
        <f t="shared" si="1"/>
        <v>172144</v>
      </c>
      <c r="H59" s="4">
        <f t="shared" si="2"/>
        <v>-6.7063381373004827E-2</v>
      </c>
    </row>
    <row r="61" spans="2:8" x14ac:dyDescent="0.35">
      <c r="B61" s="1" t="s">
        <v>32</v>
      </c>
    </row>
    <row r="62" spans="2:8" x14ac:dyDescent="0.35">
      <c r="B62" s="1" t="s">
        <v>33</v>
      </c>
      <c r="C62" s="1" t="s">
        <v>16</v>
      </c>
      <c r="D62" s="1" t="s">
        <v>34</v>
      </c>
      <c r="E62" s="1" t="s">
        <v>35</v>
      </c>
      <c r="F62" s="1" t="s">
        <v>36</v>
      </c>
    </row>
    <row r="63" spans="2:8" x14ac:dyDescent="0.35">
      <c r="B63" s="1" t="s">
        <v>7</v>
      </c>
      <c r="C63" s="4">
        <v>508</v>
      </c>
      <c r="D63" s="4">
        <v>88</v>
      </c>
      <c r="E63" s="4">
        <f>D63/C63</f>
        <v>0.17322834645669291</v>
      </c>
      <c r="F63" s="4">
        <v>418</v>
      </c>
      <c r="G63" s="4">
        <f>D63/F63</f>
        <v>0.21052631578947367</v>
      </c>
      <c r="H63" s="4"/>
    </row>
    <row r="64" spans="2:8" x14ac:dyDescent="0.35">
      <c r="B64" s="1" t="s">
        <v>8</v>
      </c>
      <c r="C64" s="4">
        <v>359130</v>
      </c>
      <c r="D64" s="4">
        <v>204527</v>
      </c>
      <c r="E64" s="4">
        <f t="shared" ref="E64:E65" si="3">D64/C64</f>
        <v>0.56950686380976245</v>
      </c>
      <c r="F64" s="4">
        <v>154502</v>
      </c>
      <c r="G64" s="4">
        <f t="shared" ref="G64:G65" si="4">D64/F64</f>
        <v>1.3237822164114381</v>
      </c>
      <c r="H64" s="4"/>
    </row>
    <row r="65" spans="2:11" x14ac:dyDescent="0.35">
      <c r="B65" s="1" t="s">
        <v>9</v>
      </c>
      <c r="C65" s="4">
        <v>2635021</v>
      </c>
      <c r="D65" s="4">
        <v>148912</v>
      </c>
      <c r="E65" s="4">
        <f t="shared" si="3"/>
        <v>5.6512642593740239E-2</v>
      </c>
      <c r="F65" s="4">
        <v>2486108</v>
      </c>
      <c r="G65" s="4">
        <f t="shared" si="4"/>
        <v>5.9897639201514981E-2</v>
      </c>
      <c r="H65" s="4"/>
    </row>
    <row r="66" spans="2:11" x14ac:dyDescent="0.35">
      <c r="F66" s="4"/>
      <c r="G66" s="4"/>
      <c r="H66" s="4"/>
    </row>
    <row r="68" spans="2:11" x14ac:dyDescent="0.35">
      <c r="C68" s="1" t="s">
        <v>94</v>
      </c>
    </row>
    <row r="69" spans="2:11" x14ac:dyDescent="0.35">
      <c r="C69" s="1" t="s">
        <v>15</v>
      </c>
      <c r="D69" s="1" t="s">
        <v>40</v>
      </c>
      <c r="E69" s="1" t="s">
        <v>37</v>
      </c>
      <c r="F69" s="1" t="s">
        <v>38</v>
      </c>
      <c r="G69" s="1" t="s">
        <v>39</v>
      </c>
      <c r="H69" s="1" t="s">
        <v>41</v>
      </c>
      <c r="I69" s="1" t="s">
        <v>89</v>
      </c>
      <c r="J69" s="1" t="s">
        <v>96</v>
      </c>
      <c r="K69" s="1" t="s">
        <v>101</v>
      </c>
    </row>
    <row r="70" spans="2:11" s="4" customFormat="1" x14ac:dyDescent="0.35">
      <c r="C70" s="4">
        <v>2</v>
      </c>
      <c r="D70" s="11">
        <v>112.449591199983</v>
      </c>
      <c r="E70" s="11">
        <v>1.42899999627843E-3</v>
      </c>
      <c r="F70" s="11">
        <v>1.40904999861959E-2</v>
      </c>
      <c r="G70" s="11">
        <v>0.12420980000751999</v>
      </c>
      <c r="H70" s="6">
        <f>SUM(D70:G70)</f>
        <v>112.589320499973</v>
      </c>
      <c r="I70" s="6">
        <f>(D70+E70)</f>
        <v>112.45102019997928</v>
      </c>
      <c r="J70" s="9">
        <f>G70+F70</f>
        <v>0.1383002999937159</v>
      </c>
      <c r="K70" s="11">
        <f>J70/D70</f>
        <v>1.2298870855631603E-3</v>
      </c>
    </row>
    <row r="71" spans="2:11" s="4" customFormat="1" x14ac:dyDescent="0.35">
      <c r="C71" s="4">
        <v>3</v>
      </c>
      <c r="D71" s="11">
        <v>432.46177490000201</v>
      </c>
      <c r="E71" s="11">
        <v>2.6744585999986099</v>
      </c>
      <c r="F71" s="11">
        <v>58.425300999981097</v>
      </c>
      <c r="G71" s="11">
        <v>199.934930000017</v>
      </c>
      <c r="H71" s="6">
        <f t="shared" ref="H71:H72" si="5">SUM(D71:G71)</f>
        <v>693.49646449999875</v>
      </c>
      <c r="I71" s="6">
        <f t="shared" ref="I71:I72" si="6">(D71+E71)</f>
        <v>435.13623350000063</v>
      </c>
      <c r="J71" s="9">
        <f t="shared" ref="J71:J72" si="7">G71+F71</f>
        <v>258.36023099999812</v>
      </c>
      <c r="K71" s="11">
        <f t="shared" ref="K71" si="8">J71/D71</f>
        <v>0.59741749674809685</v>
      </c>
    </row>
    <row r="72" spans="2:11" s="4" customFormat="1" x14ac:dyDescent="0.35">
      <c r="C72" s="4">
        <v>4</v>
      </c>
      <c r="D72" s="11">
        <v>1381.8621215999799</v>
      </c>
      <c r="E72" s="11">
        <v>29.8245225000137</v>
      </c>
      <c r="F72" s="11">
        <v>95.649471599986995</v>
      </c>
      <c r="G72" s="11">
        <v>2913.9907002999898</v>
      </c>
      <c r="H72" s="7">
        <f t="shared" si="5"/>
        <v>4421.3268159999707</v>
      </c>
      <c r="I72" s="6">
        <f t="shared" si="6"/>
        <v>1411.6866440999936</v>
      </c>
      <c r="J72" s="9">
        <f t="shared" si="7"/>
        <v>3009.6401718999768</v>
      </c>
      <c r="K72" s="11">
        <f>J72/D72</f>
        <v>2.1779598158572324</v>
      </c>
    </row>
    <row r="74" spans="2:11" x14ac:dyDescent="0.35">
      <c r="C74" s="1" t="s">
        <v>94</v>
      </c>
    </row>
    <row r="75" spans="2:11" x14ac:dyDescent="0.35">
      <c r="C75" s="1" t="s">
        <v>15</v>
      </c>
      <c r="D75" s="1" t="s">
        <v>42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90</v>
      </c>
      <c r="J75" s="1" t="s">
        <v>97</v>
      </c>
      <c r="K75" s="1" t="s">
        <v>102</v>
      </c>
    </row>
    <row r="76" spans="2:11" x14ac:dyDescent="0.35">
      <c r="C76" s="4">
        <v>2</v>
      </c>
      <c r="D76" s="11">
        <v>106.722055099991</v>
      </c>
      <c r="E76" s="11">
        <v>1.88490000437013E-3</v>
      </c>
      <c r="F76" s="11">
        <v>3.1458100012969198E-2</v>
      </c>
      <c r="G76" s="11">
        <v>0.27219430002151002</v>
      </c>
      <c r="H76" s="6">
        <f>SUM(D76:G76)</f>
        <v>107.02759240002985</v>
      </c>
      <c r="I76" s="6">
        <f>(D76+E76)</f>
        <v>106.72393999999537</v>
      </c>
      <c r="J76" s="9">
        <f>G76+F76</f>
        <v>0.30365240003447924</v>
      </c>
      <c r="K76" s="11">
        <f>J76/D76</f>
        <v>2.8452637999706668E-3</v>
      </c>
    </row>
    <row r="77" spans="2:11" s="4" customFormat="1" x14ac:dyDescent="0.35">
      <c r="C77" s="4">
        <v>3</v>
      </c>
      <c r="D77" s="11">
        <v>435.46399859999599</v>
      </c>
      <c r="E77" s="11">
        <v>2.8348992000101099</v>
      </c>
      <c r="F77" s="11">
        <v>81.507741900015304</v>
      </c>
      <c r="G77" s="11">
        <v>347.67646899999801</v>
      </c>
      <c r="H77" s="6">
        <f>SUM(D77:G77)</f>
        <v>867.48310870001933</v>
      </c>
      <c r="I77" s="6">
        <f t="shared" ref="I77:I78" si="9">(D77+E77)</f>
        <v>438.2988978000061</v>
      </c>
      <c r="J77" s="9">
        <f t="shared" ref="J77:J78" si="10">G77+F77</f>
        <v>429.18421090001334</v>
      </c>
      <c r="K77" s="11">
        <f t="shared" ref="K77:K78" si="11">J77/D77</f>
        <v>0.98557908869580035</v>
      </c>
    </row>
    <row r="78" spans="2:11" s="4" customFormat="1" x14ac:dyDescent="0.35">
      <c r="C78" s="4">
        <v>4</v>
      </c>
      <c r="D78" s="11">
        <v>1309.9285235999801</v>
      </c>
      <c r="E78" s="11">
        <v>28.127851600002</v>
      </c>
      <c r="F78" s="11">
        <v>136.361279600008</v>
      </c>
      <c r="G78" s="11">
        <v>10919.710767</v>
      </c>
      <c r="H78" s="6">
        <f>SUM(D78:G78)</f>
        <v>12394.128421799991</v>
      </c>
      <c r="I78" s="6">
        <f t="shared" si="9"/>
        <v>1338.0563751999821</v>
      </c>
      <c r="J78" s="9">
        <f t="shared" si="10"/>
        <v>11056.072046600009</v>
      </c>
      <c r="K78" s="11">
        <f t="shared" si="11"/>
        <v>8.4402101698002738</v>
      </c>
    </row>
    <row r="80" spans="2:11" x14ac:dyDescent="0.35">
      <c r="C80" s="1" t="s">
        <v>94</v>
      </c>
    </row>
    <row r="81" spans="3:11" x14ac:dyDescent="0.35">
      <c r="C81" s="1" t="s">
        <v>15</v>
      </c>
      <c r="D81" s="1" t="s">
        <v>51</v>
      </c>
      <c r="E81" s="1" t="s">
        <v>50</v>
      </c>
      <c r="F81" s="1" t="s">
        <v>49</v>
      </c>
      <c r="G81" s="1" t="s">
        <v>48</v>
      </c>
      <c r="H81" s="1" t="s">
        <v>47</v>
      </c>
      <c r="I81" s="1" t="s">
        <v>91</v>
      </c>
      <c r="J81" s="1" t="s">
        <v>98</v>
      </c>
      <c r="K81" s="1" t="s">
        <v>103</v>
      </c>
    </row>
    <row r="82" spans="3:11" s="4" customFormat="1" x14ac:dyDescent="0.35">
      <c r="C82" s="4">
        <v>2</v>
      </c>
      <c r="D82" s="12">
        <v>98.522515999997196</v>
      </c>
      <c r="E82" s="12">
        <v>1.9183999975211901E-3</v>
      </c>
      <c r="F82" s="12">
        <v>4.4192100001964697E-2</v>
      </c>
      <c r="G82" s="12">
        <v>0.28554489999078198</v>
      </c>
      <c r="H82" s="12">
        <f>SUM(D82:G82)</f>
        <v>98.854171399987464</v>
      </c>
      <c r="I82" s="6">
        <f>(D82+E82)</f>
        <v>98.524434399994718</v>
      </c>
      <c r="J82" s="9">
        <f>G82+F82</f>
        <v>0.32973699999274669</v>
      </c>
      <c r="K82" s="11">
        <f>J82/D82</f>
        <v>3.3468187108899664E-3</v>
      </c>
    </row>
    <row r="83" spans="3:11" s="4" customFormat="1" x14ac:dyDescent="0.35">
      <c r="C83" s="4">
        <v>3</v>
      </c>
      <c r="D83" s="12">
        <v>439.664883499994</v>
      </c>
      <c r="E83" s="12">
        <v>2.8796669000002999</v>
      </c>
      <c r="F83" s="12">
        <v>75.220504099997896</v>
      </c>
      <c r="G83" s="12">
        <v>524.30570260001696</v>
      </c>
      <c r="H83" s="12">
        <f>SUM(D83:G83)</f>
        <v>1042.0707571000091</v>
      </c>
      <c r="I83" s="6">
        <f t="shared" ref="I83:I84" si="12">(D83+E83)</f>
        <v>442.54455039999431</v>
      </c>
      <c r="J83" s="9">
        <f t="shared" ref="J83:J84" si="13">G83+F83</f>
        <v>599.52620670001488</v>
      </c>
      <c r="K83" s="11">
        <f t="shared" ref="K83:K84" si="14">J83/D83</f>
        <v>1.3635981157454051</v>
      </c>
    </row>
    <row r="84" spans="3:11" s="4" customFormat="1" x14ac:dyDescent="0.35">
      <c r="C84" s="4">
        <v>4</v>
      </c>
      <c r="D84" s="12">
        <v>1337.96339879999</v>
      </c>
      <c r="E84" s="12">
        <v>28.036752000014499</v>
      </c>
      <c r="F84" s="12">
        <v>143.89867160000699</v>
      </c>
      <c r="G84" s="12">
        <v>23606.043457499902</v>
      </c>
      <c r="H84" s="12">
        <f>SUM(D84:G84)</f>
        <v>25115.942279899915</v>
      </c>
      <c r="I84" s="6">
        <f t="shared" si="12"/>
        <v>1366.0001508000046</v>
      </c>
      <c r="J84" s="9">
        <f t="shared" si="13"/>
        <v>23749.942129099909</v>
      </c>
      <c r="K84" s="11">
        <f t="shared" si="14"/>
        <v>17.750816016642208</v>
      </c>
    </row>
    <row r="86" spans="3:11" x14ac:dyDescent="0.35">
      <c r="C86" s="1" t="s">
        <v>94</v>
      </c>
    </row>
    <row r="87" spans="3:11" x14ac:dyDescent="0.35">
      <c r="C87" s="1" t="s">
        <v>15</v>
      </c>
      <c r="D87" s="1" t="s">
        <v>52</v>
      </c>
      <c r="E87" s="1" t="s">
        <v>53</v>
      </c>
      <c r="F87" s="1" t="s">
        <v>54</v>
      </c>
      <c r="G87" s="1" t="s">
        <v>55</v>
      </c>
      <c r="H87" s="1" t="s">
        <v>56</v>
      </c>
      <c r="I87" s="1" t="s">
        <v>92</v>
      </c>
      <c r="J87" s="1" t="s">
        <v>99</v>
      </c>
      <c r="K87" s="1" t="s">
        <v>104</v>
      </c>
    </row>
    <row r="88" spans="3:11" s="4" customFormat="1" x14ac:dyDescent="0.35">
      <c r="C88" s="4">
        <v>2</v>
      </c>
      <c r="D88" s="6">
        <v>99.896192599990101</v>
      </c>
      <c r="E88" s="6">
        <v>1.7024999833665699E-3</v>
      </c>
      <c r="F88" s="6">
        <v>4.4192100001964697E-2</v>
      </c>
      <c r="G88" s="6">
        <v>0.36928970000008099</v>
      </c>
      <c r="H88" s="6">
        <f>SUM(D88:G88)</f>
        <v>100.31137689997551</v>
      </c>
      <c r="I88" s="6">
        <f>(D88+E88)</f>
        <v>99.897895099973468</v>
      </c>
      <c r="J88" s="9">
        <f>G88+F88</f>
        <v>0.41348180000204571</v>
      </c>
      <c r="K88" s="11">
        <f>J88/D88</f>
        <v>4.139114707381617E-3</v>
      </c>
    </row>
    <row r="89" spans="3:11" s="4" customFormat="1" x14ac:dyDescent="0.35">
      <c r="C89" s="4">
        <v>3</v>
      </c>
      <c r="D89" s="6">
        <v>358.81276109997998</v>
      </c>
      <c r="E89" s="6">
        <v>2.4278150000027301</v>
      </c>
      <c r="F89" s="6">
        <v>99.754166800004896</v>
      </c>
      <c r="G89" s="6">
        <v>730.59805099997902</v>
      </c>
      <c r="H89" s="6">
        <f>SUM(D89:G89)</f>
        <v>1191.5927938999666</v>
      </c>
      <c r="I89" s="6">
        <f t="shared" ref="I89:I90" si="15">(D89+E89)</f>
        <v>361.24057609998272</v>
      </c>
      <c r="J89" s="9">
        <f>G89+F89</f>
        <v>830.35221779998392</v>
      </c>
      <c r="K89" s="11">
        <f t="shared" ref="K89:K90" si="16">J89/D89</f>
        <v>2.3141657929178656</v>
      </c>
    </row>
    <row r="90" spans="3:11" s="4" customFormat="1" x14ac:dyDescent="0.35">
      <c r="C90" s="4">
        <v>4</v>
      </c>
      <c r="D90" s="6">
        <v>1461.13458299997</v>
      </c>
      <c r="E90" s="6">
        <v>29.6458604999934</v>
      </c>
      <c r="F90" s="6">
        <v>164.796686799963</v>
      </c>
      <c r="G90" s="6">
        <v>52067.462105799903</v>
      </c>
      <c r="H90" s="6">
        <f>SUM(D90:G90)</f>
        <v>53723.03923609983</v>
      </c>
      <c r="I90" s="6">
        <f t="shared" si="15"/>
        <v>1490.7804434999634</v>
      </c>
      <c r="J90" s="9">
        <f t="shared" ref="J90" si="17">G90+F90</f>
        <v>52232.258792599867</v>
      </c>
      <c r="K90" s="11">
        <f t="shared" si="16"/>
        <v>35.747739736169763</v>
      </c>
    </row>
    <row r="92" spans="3:11" x14ac:dyDescent="0.35">
      <c r="C92" s="1" t="s">
        <v>94</v>
      </c>
    </row>
    <row r="93" spans="3:11" x14ac:dyDescent="0.35">
      <c r="C93" s="1" t="s">
        <v>15</v>
      </c>
      <c r="D93" s="1" t="s">
        <v>57</v>
      </c>
      <c r="E93" s="1" t="s">
        <v>58</v>
      </c>
      <c r="F93" s="1" t="s">
        <v>59</v>
      </c>
      <c r="G93" s="1" t="s">
        <v>60</v>
      </c>
      <c r="H93" s="1" t="s">
        <v>61</v>
      </c>
      <c r="I93" s="1" t="s">
        <v>93</v>
      </c>
      <c r="J93" s="1" t="s">
        <v>100</v>
      </c>
      <c r="K93" s="1" t="s">
        <v>105</v>
      </c>
    </row>
    <row r="94" spans="3:11" x14ac:dyDescent="0.35">
      <c r="C94" s="4">
        <v>2</v>
      </c>
      <c r="D94" s="6">
        <v>101.23285389999999</v>
      </c>
      <c r="E94" s="6">
        <v>1.64870001026429E-3</v>
      </c>
      <c r="F94" s="6">
        <v>4.1228400019463103E-2</v>
      </c>
      <c r="G94" s="6">
        <v>0.50416630000108797</v>
      </c>
      <c r="H94" s="6">
        <f>SUM(D94:G94)</f>
        <v>101.77989730003081</v>
      </c>
      <c r="I94" s="6">
        <f>(D94+E94)</f>
        <v>101.23450260001026</v>
      </c>
      <c r="J94" s="9">
        <f>G94+F94</f>
        <v>0.54539470002055113</v>
      </c>
      <c r="K94" s="11">
        <f>J94/D94</f>
        <v>5.3875266675708243E-3</v>
      </c>
    </row>
    <row r="95" spans="3:11" x14ac:dyDescent="0.35">
      <c r="C95" s="4">
        <v>3</v>
      </c>
      <c r="D95" s="6">
        <v>355.08468520000997</v>
      </c>
      <c r="E95" s="6">
        <v>2.3933787000132698</v>
      </c>
      <c r="F95" s="6">
        <v>71.329274199990294</v>
      </c>
      <c r="G95" s="6">
        <v>1060.12395100001</v>
      </c>
      <c r="H95" s="6">
        <f t="shared" ref="H95:H96" si="18">SUM(D95:G95)</f>
        <v>1488.9312891000236</v>
      </c>
      <c r="I95" s="6">
        <f t="shared" ref="I95:I96" si="19">(D95+E95)</f>
        <v>357.47806390002324</v>
      </c>
      <c r="J95" s="9">
        <f>F95+G95</f>
        <v>1131.4532252000004</v>
      </c>
      <c r="K95" s="11">
        <f t="shared" ref="K95:K96" si="20">J95/D95</f>
        <v>3.1864320607425864</v>
      </c>
    </row>
    <row r="96" spans="3:11" x14ac:dyDescent="0.35">
      <c r="C96" s="4">
        <v>4</v>
      </c>
      <c r="D96" s="6"/>
      <c r="E96" s="6"/>
      <c r="F96" s="6"/>
      <c r="G96" s="6"/>
      <c r="H96" s="6">
        <f t="shared" si="18"/>
        <v>0</v>
      </c>
      <c r="I96" s="6">
        <f t="shared" si="19"/>
        <v>0</v>
      </c>
      <c r="J96" s="9">
        <f t="shared" ref="J96" si="21">G96+F96</f>
        <v>0</v>
      </c>
      <c r="K96" s="11" t="e">
        <f t="shared" si="20"/>
        <v>#DIV/0!</v>
      </c>
    </row>
    <row r="97" spans="3:11" x14ac:dyDescent="0.35">
      <c r="C97" s="4"/>
      <c r="D97" s="4"/>
      <c r="E97" s="4"/>
      <c r="F97" s="4"/>
      <c r="G97" s="4"/>
      <c r="H97" s="4"/>
      <c r="I97" s="6"/>
      <c r="J97" s="9"/>
      <c r="K97" s="11"/>
    </row>
    <row r="98" spans="3:11" x14ac:dyDescent="0.35">
      <c r="C98" s="4" t="s">
        <v>123</v>
      </c>
      <c r="E98" s="4"/>
      <c r="F98" s="4"/>
      <c r="G98" s="4"/>
      <c r="H98" s="4"/>
      <c r="I98" s="4"/>
      <c r="J98" s="6"/>
      <c r="K98" s="9"/>
    </row>
    <row r="99" spans="3:11" x14ac:dyDescent="0.35">
      <c r="C99" s="1" t="s">
        <v>119</v>
      </c>
      <c r="D99" s="4" t="s">
        <v>113</v>
      </c>
      <c r="E99" s="4" t="s">
        <v>114</v>
      </c>
      <c r="F99" s="4" t="s">
        <v>115</v>
      </c>
      <c r="G99" s="4" t="s">
        <v>116</v>
      </c>
      <c r="H99" s="4" t="s">
        <v>117</v>
      </c>
      <c r="I99" s="4" t="s">
        <v>88</v>
      </c>
      <c r="J99" s="6" t="s">
        <v>95</v>
      </c>
      <c r="K99" s="9" t="s">
        <v>118</v>
      </c>
    </row>
    <row r="100" spans="3:11" x14ac:dyDescent="0.35">
      <c r="C100" s="1" t="s">
        <v>25</v>
      </c>
      <c r="D100" s="11">
        <v>112.449591199983</v>
      </c>
      <c r="E100" s="11">
        <v>1.42899999627843E-3</v>
      </c>
      <c r="F100" s="11">
        <v>1.40904999861959E-2</v>
      </c>
      <c r="G100" s="11">
        <v>0.12420980000751999</v>
      </c>
      <c r="H100" s="6">
        <f>SUM(D100:G100)</f>
        <v>112.589320499973</v>
      </c>
      <c r="I100" s="6">
        <f>(D100+E100)</f>
        <v>112.45102019997928</v>
      </c>
      <c r="J100" s="9">
        <f>G100+F100</f>
        <v>0.1383002999937159</v>
      </c>
      <c r="K100" s="11">
        <f>J100/D100</f>
        <v>1.2298870855631603E-3</v>
      </c>
    </row>
    <row r="101" spans="3:11" x14ac:dyDescent="0.35">
      <c r="C101" s="1" t="s">
        <v>8</v>
      </c>
      <c r="D101" s="11">
        <v>106.722055099991</v>
      </c>
      <c r="E101" s="11">
        <v>1.88490000437013E-3</v>
      </c>
      <c r="F101" s="11">
        <v>3.1458100012969198E-2</v>
      </c>
      <c r="G101" s="11">
        <v>0.27219430002151002</v>
      </c>
      <c r="H101" s="6">
        <f>SUM(D101:G101)</f>
        <v>107.02759240002985</v>
      </c>
      <c r="I101" s="6">
        <f>(D101+E101)</f>
        <v>106.72393999999537</v>
      </c>
      <c r="J101" s="9">
        <f>G101+F101</f>
        <v>0.30365240003447924</v>
      </c>
      <c r="K101" s="11">
        <f>J101/D101</f>
        <v>2.8452637999706668E-3</v>
      </c>
    </row>
    <row r="102" spans="3:11" x14ac:dyDescent="0.35">
      <c r="C102" s="1" t="s">
        <v>120</v>
      </c>
      <c r="D102" s="12">
        <v>98.522515999997196</v>
      </c>
      <c r="E102" s="12">
        <v>1.9183999975211901E-3</v>
      </c>
      <c r="F102" s="12">
        <v>4.4192100001964697E-2</v>
      </c>
      <c r="G102" s="12">
        <v>0.28554489999078198</v>
      </c>
      <c r="H102" s="12">
        <f>SUM(D102:G102)</f>
        <v>98.854171399987464</v>
      </c>
      <c r="I102" s="6">
        <f>(D102+E102)</f>
        <v>98.524434399994718</v>
      </c>
      <c r="J102" s="9">
        <f>G102+F102</f>
        <v>0.32973699999274669</v>
      </c>
      <c r="K102" s="11">
        <f>J102/D102</f>
        <v>3.3468187108899664E-3</v>
      </c>
    </row>
    <row r="103" spans="3:11" x14ac:dyDescent="0.35">
      <c r="C103" s="1" t="s">
        <v>121</v>
      </c>
      <c r="D103" s="6">
        <v>99.896192599990101</v>
      </c>
      <c r="E103" s="6">
        <v>1.7024999833665699E-3</v>
      </c>
      <c r="F103" s="6">
        <v>4.4192100001964697E-2</v>
      </c>
      <c r="G103" s="6">
        <v>0.36928970000008099</v>
      </c>
      <c r="H103" s="6">
        <f>SUM(D103:G103)</f>
        <v>100.31137689997551</v>
      </c>
      <c r="I103" s="6">
        <f>(D103+E103)</f>
        <v>99.897895099973468</v>
      </c>
      <c r="J103" s="9">
        <f>G103+F103</f>
        <v>0.41348180000204571</v>
      </c>
      <c r="K103" s="11">
        <f>J103/D103</f>
        <v>4.139114707381617E-3</v>
      </c>
    </row>
    <row r="104" spans="3:11" x14ac:dyDescent="0.35">
      <c r="C104" s="1" t="s">
        <v>122</v>
      </c>
      <c r="D104" s="6">
        <v>101.23285389999999</v>
      </c>
      <c r="E104" s="6">
        <v>1.64870001026429E-3</v>
      </c>
      <c r="F104" s="6">
        <v>4.1228400019463103E-2</v>
      </c>
      <c r="G104" s="6">
        <v>0.50416630000108797</v>
      </c>
      <c r="H104" s="6">
        <f>SUM(D104:G104)</f>
        <v>101.77989730003081</v>
      </c>
      <c r="I104" s="6">
        <f>(D104+E104)</f>
        <v>101.23450260001026</v>
      </c>
      <c r="J104" s="9">
        <f>G104+F104</f>
        <v>0.54539470002055113</v>
      </c>
      <c r="K104" s="11">
        <f>J104/D104</f>
        <v>5.3875266675708243E-3</v>
      </c>
    </row>
    <row r="105" spans="3:11" x14ac:dyDescent="0.35">
      <c r="D105" s="6"/>
      <c r="E105" s="6"/>
      <c r="F105" s="6"/>
      <c r="G105" s="6"/>
      <c r="H105" s="6"/>
      <c r="I105" s="6"/>
      <c r="J105" s="9"/>
      <c r="K105" s="11"/>
    </row>
    <row r="106" spans="3:11" x14ac:dyDescent="0.35">
      <c r="C106" s="4" t="s">
        <v>160</v>
      </c>
      <c r="E106" s="4"/>
      <c r="F106" s="4"/>
      <c r="G106" s="4"/>
      <c r="H106" s="4"/>
      <c r="I106" s="4"/>
      <c r="J106" s="6"/>
      <c r="K106" s="9"/>
    </row>
    <row r="107" spans="3:11" x14ac:dyDescent="0.35">
      <c r="C107" s="1" t="s">
        <v>119</v>
      </c>
      <c r="D107" s="4" t="s">
        <v>113</v>
      </c>
      <c r="E107" s="4" t="s">
        <v>114</v>
      </c>
      <c r="F107" s="4" t="s">
        <v>115</v>
      </c>
      <c r="G107" s="4" t="s">
        <v>116</v>
      </c>
      <c r="H107" s="4" t="s">
        <v>117</v>
      </c>
      <c r="I107" s="4" t="s">
        <v>88</v>
      </c>
      <c r="J107" s="6" t="s">
        <v>95</v>
      </c>
      <c r="K107" s="9" t="s">
        <v>118</v>
      </c>
    </row>
    <row r="108" spans="3:11" x14ac:dyDescent="0.35">
      <c r="C108" s="1" t="s">
        <v>25</v>
      </c>
      <c r="D108" s="11">
        <v>432.46177490000201</v>
      </c>
      <c r="E108" s="11">
        <v>2.6744585999986099</v>
      </c>
      <c r="F108" s="11">
        <v>58.425300999981097</v>
      </c>
      <c r="G108" s="11">
        <v>199.934930000017</v>
      </c>
      <c r="H108" s="6">
        <f t="shared" ref="H108" si="22">SUM(D108:G108)</f>
        <v>693.49646449999875</v>
      </c>
      <c r="I108" s="6">
        <f t="shared" ref="I108" si="23">(D108+E108)</f>
        <v>435.13623350000063</v>
      </c>
      <c r="J108" s="9">
        <f t="shared" ref="J108" si="24">G108+F108</f>
        <v>258.36023099999812</v>
      </c>
      <c r="K108" s="11">
        <f t="shared" ref="K108" si="25">J108/D108</f>
        <v>0.59741749674809685</v>
      </c>
    </row>
    <row r="109" spans="3:11" x14ac:dyDescent="0.35">
      <c r="C109" s="1" t="s">
        <v>8</v>
      </c>
      <c r="D109" s="11">
        <v>435.46399859999599</v>
      </c>
      <c r="E109" s="11">
        <v>2.8348992000101099</v>
      </c>
      <c r="F109" s="11">
        <v>81.507741900015304</v>
      </c>
      <c r="G109" s="11">
        <v>347.67646899999801</v>
      </c>
      <c r="H109" s="6">
        <v>867.48310870001933</v>
      </c>
      <c r="I109" s="6">
        <v>438.2988978000061</v>
      </c>
      <c r="J109" s="9">
        <v>429.18421090001334</v>
      </c>
      <c r="K109" s="11">
        <v>0.98557908869580035</v>
      </c>
    </row>
    <row r="110" spans="3:11" x14ac:dyDescent="0.35">
      <c r="C110" s="1" t="s">
        <v>120</v>
      </c>
      <c r="D110" s="12">
        <v>439.664883499994</v>
      </c>
      <c r="E110" s="12">
        <v>2.8796669000002999</v>
      </c>
      <c r="F110" s="12">
        <v>75.220504099997896</v>
      </c>
      <c r="G110" s="12">
        <v>524.30570260001696</v>
      </c>
      <c r="H110" s="12">
        <v>1042.0707571000091</v>
      </c>
      <c r="I110" s="6">
        <v>442.54455039999431</v>
      </c>
      <c r="J110" s="9">
        <v>599.52620670001488</v>
      </c>
      <c r="K110" s="11">
        <v>1.3635981157454051</v>
      </c>
    </row>
    <row r="111" spans="3:11" x14ac:dyDescent="0.35">
      <c r="C111" s="1" t="s">
        <v>121</v>
      </c>
      <c r="D111" s="6">
        <v>358.81276109997998</v>
      </c>
      <c r="E111" s="6">
        <v>2.4278150000027301</v>
      </c>
      <c r="F111" s="6">
        <v>99.754166800004896</v>
      </c>
      <c r="G111" s="6">
        <v>730.59805099997902</v>
      </c>
      <c r="H111" s="6">
        <f>SUM(D111:G111)</f>
        <v>1191.5927938999666</v>
      </c>
      <c r="I111" s="6">
        <f t="shared" ref="I111:I112" si="26">(D111+E111)</f>
        <v>361.24057609998272</v>
      </c>
      <c r="J111" s="9">
        <f>G111+F111</f>
        <v>830.35221779998392</v>
      </c>
      <c r="K111" s="11">
        <f t="shared" ref="K111:K112" si="27">J111/D111</f>
        <v>2.3141657929178656</v>
      </c>
    </row>
    <row r="112" spans="3:11" x14ac:dyDescent="0.35">
      <c r="C112" s="1" t="s">
        <v>122</v>
      </c>
      <c r="D112" s="6">
        <v>355.08468520000997</v>
      </c>
      <c r="E112" s="6">
        <v>2.3933787000132698</v>
      </c>
      <c r="F112" s="6">
        <v>71.329274199990294</v>
      </c>
      <c r="G112" s="6">
        <v>1060.12395100001</v>
      </c>
      <c r="H112" s="6">
        <f t="shared" ref="H112" si="28">SUM(D112:G112)</f>
        <v>1488.9312891000236</v>
      </c>
      <c r="I112" s="6">
        <f t="shared" si="26"/>
        <v>357.47806390002324</v>
      </c>
      <c r="J112" s="9">
        <f>F112+G112</f>
        <v>1131.4532252000004</v>
      </c>
      <c r="K112" s="11">
        <f t="shared" si="27"/>
        <v>3.1864320607425864</v>
      </c>
    </row>
    <row r="113" spans="3:11" x14ac:dyDescent="0.35">
      <c r="D113" s="6"/>
      <c r="E113" s="6"/>
      <c r="F113" s="6"/>
      <c r="G113" s="6"/>
      <c r="H113" s="6"/>
      <c r="I113" s="6"/>
      <c r="J113" s="9"/>
      <c r="K113" s="11"/>
    </row>
    <row r="114" spans="3:11" x14ac:dyDescent="0.35">
      <c r="C114" s="4" t="s">
        <v>161</v>
      </c>
      <c r="E114" s="4"/>
      <c r="F114" s="4"/>
      <c r="G114" s="4"/>
      <c r="H114" s="4"/>
      <c r="I114" s="4"/>
      <c r="J114" s="6"/>
      <c r="K114" s="9"/>
    </row>
    <row r="115" spans="3:11" x14ac:dyDescent="0.35">
      <c r="C115" s="1" t="s">
        <v>119</v>
      </c>
      <c r="D115" s="4" t="s">
        <v>113</v>
      </c>
      <c r="E115" s="4" t="s">
        <v>114</v>
      </c>
      <c r="F115" s="4" t="s">
        <v>115</v>
      </c>
      <c r="G115" s="4" t="s">
        <v>116</v>
      </c>
      <c r="H115" s="4" t="s">
        <v>117</v>
      </c>
      <c r="I115" s="4" t="s">
        <v>88</v>
      </c>
      <c r="J115" s="6" t="s">
        <v>95</v>
      </c>
      <c r="K115" s="9" t="s">
        <v>118</v>
      </c>
    </row>
    <row r="116" spans="3:11" x14ac:dyDescent="0.35">
      <c r="C116" s="1" t="s">
        <v>25</v>
      </c>
      <c r="D116" s="11">
        <v>1381.8621215999799</v>
      </c>
      <c r="E116" s="11">
        <v>29.8245225000137</v>
      </c>
      <c r="F116" s="11">
        <v>95.649471599986995</v>
      </c>
      <c r="G116" s="11">
        <v>2913.9907002999898</v>
      </c>
      <c r="H116" s="4">
        <v>4421.3268159999707</v>
      </c>
      <c r="I116" s="6">
        <v>1411.6866440999936</v>
      </c>
      <c r="J116" s="9">
        <v>3009.6401718999768</v>
      </c>
      <c r="K116" s="11">
        <v>2.1779598158572324</v>
      </c>
    </row>
    <row r="117" spans="3:11" x14ac:dyDescent="0.35">
      <c r="C117" s="1" t="s">
        <v>8</v>
      </c>
      <c r="D117" s="11">
        <v>1309.9285235999801</v>
      </c>
      <c r="E117" s="11">
        <v>28.127851600002</v>
      </c>
      <c r="F117" s="11">
        <v>136.361279600008</v>
      </c>
      <c r="G117" s="11">
        <v>10919.710767</v>
      </c>
      <c r="H117" s="6">
        <v>12394.128421799991</v>
      </c>
      <c r="I117" s="6">
        <v>1338.0563751999821</v>
      </c>
      <c r="J117" s="9">
        <v>11056.072046600009</v>
      </c>
      <c r="K117" s="11">
        <v>8.4402101698002738</v>
      </c>
    </row>
    <row r="118" spans="3:11" x14ac:dyDescent="0.35">
      <c r="C118" s="1" t="s">
        <v>120</v>
      </c>
      <c r="D118" s="12">
        <v>1337.96339879999</v>
      </c>
      <c r="E118" s="12">
        <v>28.036752000014499</v>
      </c>
      <c r="F118" s="12">
        <v>143.89867160000699</v>
      </c>
      <c r="G118" s="12">
        <v>23606.043457499902</v>
      </c>
      <c r="H118" s="12">
        <v>25115.942279899915</v>
      </c>
      <c r="I118" s="6">
        <v>1366.0001508000046</v>
      </c>
      <c r="J118" s="9">
        <v>23749.942129099909</v>
      </c>
      <c r="K118" s="11">
        <v>17.750816016642208</v>
      </c>
    </row>
    <row r="119" spans="3:11" x14ac:dyDescent="0.35">
      <c r="C119" s="1" t="s">
        <v>121</v>
      </c>
      <c r="D119" s="6">
        <v>1461.13458299997</v>
      </c>
      <c r="E119" s="6">
        <v>29.6458604999934</v>
      </c>
      <c r="F119" s="6">
        <v>164.796686799963</v>
      </c>
      <c r="G119" s="6">
        <v>52067.462105799903</v>
      </c>
      <c r="H119" s="6">
        <f>SUM(D119:G119)</f>
        <v>53723.03923609983</v>
      </c>
      <c r="I119" s="6">
        <f t="shared" ref="I119" si="29">(D119+E119)</f>
        <v>1490.7804434999634</v>
      </c>
      <c r="J119" s="9">
        <f t="shared" ref="J119" si="30">G119+F119</f>
        <v>52232.258792599867</v>
      </c>
      <c r="K119" s="11">
        <f t="shared" ref="K119" si="31">J119/D119</f>
        <v>35.747739736169763</v>
      </c>
    </row>
    <row r="120" spans="3:11" x14ac:dyDescent="0.35">
      <c r="C120" s="1" t="s">
        <v>122</v>
      </c>
      <c r="D120" s="6"/>
      <c r="E120" s="6"/>
      <c r="F120" s="6"/>
      <c r="G120" s="6"/>
      <c r="H120" s="6"/>
      <c r="I120" s="6"/>
      <c r="J120" s="9"/>
      <c r="K120" s="11"/>
    </row>
    <row r="121" spans="3:11" x14ac:dyDescent="0.35">
      <c r="D121" s="6"/>
      <c r="E121" s="6"/>
      <c r="F121" s="6"/>
      <c r="G121" s="6"/>
      <c r="H121" s="6"/>
      <c r="I121" s="6"/>
      <c r="J121" s="9"/>
      <c r="K121" s="11"/>
    </row>
    <row r="122" spans="3:11" x14ac:dyDescent="0.35">
      <c r="C122" s="4" t="s">
        <v>163</v>
      </c>
      <c r="E122" s="4"/>
      <c r="F122" s="4"/>
      <c r="G122" s="4"/>
      <c r="H122" s="4"/>
      <c r="I122" s="4"/>
      <c r="J122" s="6"/>
      <c r="K122" s="9"/>
    </row>
    <row r="123" spans="3:11" x14ac:dyDescent="0.35">
      <c r="C123" s="1" t="s">
        <v>164</v>
      </c>
      <c r="D123" s="4" t="s">
        <v>165</v>
      </c>
      <c r="E123" s="4" t="s">
        <v>166</v>
      </c>
      <c r="F123" s="4" t="s">
        <v>167</v>
      </c>
      <c r="G123" s="4" t="s">
        <v>168</v>
      </c>
      <c r="H123" s="4" t="s">
        <v>169</v>
      </c>
      <c r="I123" s="4"/>
      <c r="J123" s="6"/>
      <c r="K123" s="9"/>
    </row>
    <row r="124" spans="3:11" x14ac:dyDescent="0.35">
      <c r="C124" s="1" t="s">
        <v>7</v>
      </c>
      <c r="D124" s="6">
        <f>H70</f>
        <v>112.589320499973</v>
      </c>
      <c r="E124" s="11">
        <f>H76</f>
        <v>107.02759240002985</v>
      </c>
      <c r="F124" s="11">
        <f>H82</f>
        <v>98.854171399987464</v>
      </c>
      <c r="G124" s="11">
        <f>H88</f>
        <v>100.31137689997551</v>
      </c>
      <c r="H124" s="6">
        <f>H94</f>
        <v>101.77989730003081</v>
      </c>
      <c r="I124" s="6"/>
      <c r="J124" s="9"/>
      <c r="K124" s="11"/>
    </row>
    <row r="125" spans="3:11" x14ac:dyDescent="0.35">
      <c r="C125" s="1" t="s">
        <v>8</v>
      </c>
      <c r="D125" s="6">
        <f t="shared" ref="D125:D126" si="32">H71</f>
        <v>693.49646449999875</v>
      </c>
      <c r="E125" s="11">
        <f t="shared" ref="E125:E126" si="33">H77</f>
        <v>867.48310870001933</v>
      </c>
      <c r="F125" s="11">
        <f t="shared" ref="F125:F126" si="34">H83</f>
        <v>1042.0707571000091</v>
      </c>
      <c r="G125" s="11">
        <f t="shared" ref="G125:G126" si="35">H89</f>
        <v>1191.5927938999666</v>
      </c>
      <c r="H125" s="6">
        <f t="shared" ref="H125:H126" si="36">H95</f>
        <v>1488.9312891000236</v>
      </c>
      <c r="I125" s="6"/>
      <c r="J125" s="9"/>
      <c r="K125" s="11"/>
    </row>
    <row r="126" spans="3:11" x14ac:dyDescent="0.35">
      <c r="C126" s="1" t="s">
        <v>9</v>
      </c>
      <c r="D126" s="6">
        <f t="shared" si="32"/>
        <v>4421.3268159999707</v>
      </c>
      <c r="E126" s="11">
        <f t="shared" si="33"/>
        <v>12394.128421799991</v>
      </c>
      <c r="F126" s="11">
        <f t="shared" si="34"/>
        <v>25115.942279899915</v>
      </c>
      <c r="G126" s="11">
        <f t="shared" si="35"/>
        <v>53723.03923609983</v>
      </c>
      <c r="H126" s="6">
        <f t="shared" si="36"/>
        <v>0</v>
      </c>
      <c r="I126" s="6"/>
      <c r="J126" s="9"/>
      <c r="K126" s="11"/>
    </row>
    <row r="127" spans="3:11" x14ac:dyDescent="0.35">
      <c r="D127" s="6"/>
      <c r="E127" s="11"/>
      <c r="F127" s="11"/>
      <c r="G127" s="11"/>
      <c r="H127" s="6"/>
      <c r="I127" s="6"/>
      <c r="J127" s="9"/>
      <c r="K127" s="11"/>
    </row>
    <row r="128" spans="3:11" x14ac:dyDescent="0.35">
      <c r="C128" s="4" t="s">
        <v>170</v>
      </c>
      <c r="E128" s="4"/>
      <c r="F128" s="4"/>
      <c r="G128" s="4"/>
      <c r="H128" s="4"/>
      <c r="I128" s="6"/>
      <c r="J128" s="9"/>
      <c r="K128" s="11"/>
    </row>
    <row r="129" spans="3:11" x14ac:dyDescent="0.35">
      <c r="C129" s="1" t="s">
        <v>164</v>
      </c>
      <c r="D129" s="4" t="s">
        <v>165</v>
      </c>
      <c r="E129" s="4" t="s">
        <v>166</v>
      </c>
      <c r="F129" s="4" t="s">
        <v>167</v>
      </c>
      <c r="G129" s="4" t="s">
        <v>168</v>
      </c>
      <c r="H129" s="4" t="s">
        <v>169</v>
      </c>
      <c r="I129" s="6"/>
      <c r="J129" s="9"/>
      <c r="K129" s="11"/>
    </row>
    <row r="130" spans="3:11" x14ac:dyDescent="0.35">
      <c r="C130" s="1" t="s">
        <v>7</v>
      </c>
      <c r="D130" s="6">
        <f>K70</f>
        <v>1.2298870855631603E-3</v>
      </c>
      <c r="E130" s="6">
        <f>K76</f>
        <v>2.8452637999706668E-3</v>
      </c>
      <c r="F130" s="6">
        <f>K82</f>
        <v>3.3468187108899664E-3</v>
      </c>
      <c r="G130" s="6">
        <f>K88</f>
        <v>4.139114707381617E-3</v>
      </c>
      <c r="H130" s="6">
        <f>K94</f>
        <v>5.3875266675708243E-3</v>
      </c>
      <c r="I130" s="6"/>
      <c r="J130" s="9"/>
      <c r="K130" s="11"/>
    </row>
    <row r="131" spans="3:11" x14ac:dyDescent="0.35">
      <c r="C131" s="1" t="s">
        <v>8</v>
      </c>
      <c r="D131" s="6">
        <f t="shared" ref="D131:D132" si="37">K71</f>
        <v>0.59741749674809685</v>
      </c>
      <c r="E131" s="6">
        <f t="shared" ref="E131:E132" si="38">K77</f>
        <v>0.98557908869580035</v>
      </c>
      <c r="F131" s="6">
        <f t="shared" ref="F131:F132" si="39">K83</f>
        <v>1.3635981157454051</v>
      </c>
      <c r="G131" s="6">
        <f t="shared" ref="G131:G132" si="40">K89</f>
        <v>2.3141657929178656</v>
      </c>
      <c r="H131" s="6">
        <f t="shared" ref="H131:H132" si="41">K95</f>
        <v>3.1864320607425864</v>
      </c>
      <c r="I131" s="6"/>
      <c r="J131" s="9"/>
      <c r="K131" s="11"/>
    </row>
    <row r="132" spans="3:11" x14ac:dyDescent="0.35">
      <c r="C132" s="1" t="s">
        <v>9</v>
      </c>
      <c r="D132" s="6">
        <f t="shared" si="37"/>
        <v>2.1779598158572324</v>
      </c>
      <c r="E132" s="6">
        <f t="shared" si="38"/>
        <v>8.4402101698002738</v>
      </c>
      <c r="F132" s="6">
        <f t="shared" si="39"/>
        <v>17.750816016642208</v>
      </c>
      <c r="G132" s="6">
        <f t="shared" si="40"/>
        <v>35.747739736169763</v>
      </c>
      <c r="H132" s="6" t="e">
        <f t="shared" si="41"/>
        <v>#DIV/0!</v>
      </c>
      <c r="I132" s="6"/>
      <c r="J132" s="9"/>
      <c r="K132" s="11"/>
    </row>
    <row r="133" spans="3:11" x14ac:dyDescent="0.35">
      <c r="D133" s="6"/>
      <c r="E133" s="11"/>
      <c r="F133" s="11"/>
      <c r="G133" s="11"/>
      <c r="H133" s="6"/>
      <c r="I133" s="6"/>
      <c r="J133" s="9"/>
      <c r="K133" s="11"/>
    </row>
    <row r="134" spans="3:11" x14ac:dyDescent="0.35">
      <c r="D134" s="6"/>
      <c r="E134" s="11"/>
      <c r="F134" s="11"/>
      <c r="G134" s="11"/>
      <c r="H134" s="6"/>
      <c r="I134" s="6"/>
      <c r="J134" s="9"/>
      <c r="K134" s="11"/>
    </row>
    <row r="135" spans="3:11" x14ac:dyDescent="0.35">
      <c r="D135" s="6"/>
      <c r="E135" s="11"/>
      <c r="F135" s="11"/>
      <c r="G135" s="11"/>
      <c r="H135" s="6"/>
      <c r="I135" s="6"/>
      <c r="J135" s="9"/>
      <c r="K135" s="11"/>
    </row>
    <row r="136" spans="3:11" x14ac:dyDescent="0.35">
      <c r="D136" s="6"/>
      <c r="E136" s="11"/>
      <c r="F136" s="11"/>
      <c r="G136" s="11"/>
      <c r="H136" s="6"/>
      <c r="I136" s="6"/>
      <c r="J136" s="9"/>
      <c r="K136" s="11"/>
    </row>
    <row r="137" spans="3:11" x14ac:dyDescent="0.35">
      <c r="D137" s="6"/>
      <c r="E137" s="11"/>
      <c r="F137" s="11"/>
      <c r="G137" s="11"/>
      <c r="H137" s="6"/>
      <c r="I137" s="6"/>
      <c r="J137" s="9"/>
      <c r="K137" s="11"/>
    </row>
    <row r="138" spans="3:11" x14ac:dyDescent="0.35">
      <c r="D138" s="6"/>
      <c r="E138" s="11"/>
      <c r="F138" s="11"/>
      <c r="G138" s="11"/>
      <c r="H138" s="6"/>
      <c r="I138" s="6"/>
      <c r="J138" s="9"/>
      <c r="K138" s="11"/>
    </row>
    <row r="139" spans="3:11" x14ac:dyDescent="0.35">
      <c r="D139" s="6"/>
      <c r="E139" s="11"/>
      <c r="F139" s="11"/>
      <c r="G139" s="11"/>
      <c r="H139" s="6"/>
      <c r="I139" s="6"/>
      <c r="J139" s="9"/>
      <c r="K139" s="11"/>
    </row>
    <row r="140" spans="3:11" x14ac:dyDescent="0.35">
      <c r="D140" s="6"/>
      <c r="E140" s="6"/>
      <c r="F140" s="6"/>
      <c r="G140" s="6"/>
      <c r="H140" s="6"/>
      <c r="I140" s="6"/>
      <c r="J140" s="9"/>
      <c r="K140" s="11"/>
    </row>
    <row r="141" spans="3:11" x14ac:dyDescent="0.35">
      <c r="D141" s="6"/>
      <c r="E141" s="6"/>
      <c r="F141" s="6"/>
      <c r="G141" s="6"/>
      <c r="H141" s="6"/>
      <c r="I141" s="6"/>
      <c r="J141" s="9"/>
      <c r="K141" s="11"/>
    </row>
    <row r="142" spans="3:11" x14ac:dyDescent="0.35">
      <c r="D142" s="6"/>
      <c r="E142" s="6"/>
      <c r="F142" s="6"/>
      <c r="G142" s="6"/>
      <c r="H142" s="6"/>
      <c r="I142" s="6"/>
      <c r="J142" s="9"/>
      <c r="K142" s="11"/>
    </row>
    <row r="143" spans="3:11" x14ac:dyDescent="0.35">
      <c r="D143" s="6"/>
      <c r="E143" s="6"/>
      <c r="F143" s="6"/>
      <c r="G143" s="6"/>
      <c r="H143" s="6"/>
      <c r="I143" s="6"/>
      <c r="J143" s="9"/>
      <c r="K143" s="11"/>
    </row>
    <row r="144" spans="3:11" x14ac:dyDescent="0.35">
      <c r="D144" s="6"/>
      <c r="E144" s="6"/>
      <c r="F144" s="6"/>
      <c r="G144" s="6"/>
      <c r="H144" s="6"/>
      <c r="I144" s="6"/>
      <c r="J144" s="9"/>
      <c r="K144" s="11"/>
    </row>
    <row r="146" spans="3:9" x14ac:dyDescent="0.35">
      <c r="C146" s="1" t="s">
        <v>66</v>
      </c>
    </row>
    <row r="147" spans="3:9" x14ac:dyDescent="0.35">
      <c r="C147" s="1" t="s">
        <v>15</v>
      </c>
      <c r="D147" s="1" t="s">
        <v>63</v>
      </c>
      <c r="E147" s="1" t="s">
        <v>62</v>
      </c>
      <c r="F147" s="1" t="s">
        <v>64</v>
      </c>
      <c r="G147" s="1" t="s">
        <v>65</v>
      </c>
      <c r="H147" s="1" t="s">
        <v>67</v>
      </c>
      <c r="I147" s="1" t="s">
        <v>14</v>
      </c>
    </row>
    <row r="148" spans="3:9" x14ac:dyDescent="0.35">
      <c r="C148" s="4">
        <v>2</v>
      </c>
      <c r="D148" s="4">
        <v>28</v>
      </c>
      <c r="E148" s="4">
        <v>28</v>
      </c>
      <c r="F148" s="4">
        <v>28</v>
      </c>
      <c r="G148" s="4">
        <v>1</v>
      </c>
      <c r="H148" s="4">
        <f>SUM(F148:G148)</f>
        <v>29</v>
      </c>
      <c r="I148" s="4">
        <f>1-H148/D148</f>
        <v>-3.5714285714285809E-2</v>
      </c>
    </row>
    <row r="149" spans="3:9" x14ac:dyDescent="0.35">
      <c r="C149" s="4">
        <v>3</v>
      </c>
      <c r="D149" s="4">
        <v>44855</v>
      </c>
      <c r="E149" s="4">
        <v>46766</v>
      </c>
      <c r="F149" s="4">
        <v>28618</v>
      </c>
      <c r="G149" s="4">
        <v>3511</v>
      </c>
      <c r="H149" s="4">
        <f t="shared" ref="H149:H150" si="42">SUM(F149:G149)</f>
        <v>32129</v>
      </c>
      <c r="I149" s="4">
        <f t="shared" ref="I149:I150" si="43">1-H149/D149</f>
        <v>0.28371419016832011</v>
      </c>
    </row>
    <row r="150" spans="3:9" x14ac:dyDescent="0.35">
      <c r="C150" s="4">
        <v>4</v>
      </c>
      <c r="D150" s="4">
        <v>668877</v>
      </c>
      <c r="E150" s="4">
        <v>669308</v>
      </c>
      <c r="F150" s="4">
        <v>644766</v>
      </c>
      <c r="G150" s="4">
        <v>4783</v>
      </c>
      <c r="H150" s="4">
        <f t="shared" si="42"/>
        <v>649549</v>
      </c>
      <c r="I150" s="4">
        <f t="shared" si="43"/>
        <v>2.8896194666582997E-2</v>
      </c>
    </row>
    <row r="152" spans="3:9" x14ac:dyDescent="0.35">
      <c r="C152" s="1" t="s">
        <v>66</v>
      </c>
    </row>
    <row r="153" spans="3:9" x14ac:dyDescent="0.35">
      <c r="C153" s="1" t="s">
        <v>15</v>
      </c>
      <c r="D153" s="1" t="s">
        <v>68</v>
      </c>
      <c r="E153" s="1" t="s">
        <v>69</v>
      </c>
      <c r="F153" s="1" t="s">
        <v>70</v>
      </c>
      <c r="G153" s="1" t="s">
        <v>71</v>
      </c>
      <c r="H153" s="1" t="s">
        <v>72</v>
      </c>
      <c r="I153" s="1" t="s">
        <v>14</v>
      </c>
    </row>
    <row r="154" spans="3:9" x14ac:dyDescent="0.35">
      <c r="C154" s="4">
        <v>2</v>
      </c>
      <c r="D154" s="4">
        <v>28</v>
      </c>
      <c r="E154" s="4">
        <v>29</v>
      </c>
      <c r="F154" s="4">
        <v>24</v>
      </c>
      <c r="G154" s="4">
        <v>1</v>
      </c>
      <c r="H154" s="4">
        <f>SUM(F154:G154)</f>
        <v>25</v>
      </c>
      <c r="I154" s="4">
        <f>1-H154/D154</f>
        <v>0.1071428571428571</v>
      </c>
    </row>
    <row r="155" spans="3:9" x14ac:dyDescent="0.35">
      <c r="C155" s="4">
        <v>3</v>
      </c>
      <c r="D155" s="4">
        <v>46056</v>
      </c>
      <c r="E155" s="4">
        <v>49082</v>
      </c>
      <c r="F155" s="4">
        <v>13960</v>
      </c>
      <c r="G155" s="4">
        <v>6977</v>
      </c>
      <c r="H155" s="4">
        <f t="shared" ref="H155:H156" si="44">SUM(F155:G155)</f>
        <v>20937</v>
      </c>
      <c r="I155" s="4">
        <f t="shared" ref="I155:I156" si="45">1-H155/D155</f>
        <v>0.54540125065138101</v>
      </c>
    </row>
    <row r="156" spans="3:9" x14ac:dyDescent="0.35">
      <c r="C156" s="4">
        <v>4</v>
      </c>
      <c r="D156" s="4">
        <v>668336</v>
      </c>
      <c r="E156" s="4">
        <v>668271</v>
      </c>
      <c r="F156" s="4">
        <v>620766</v>
      </c>
      <c r="G156" s="4">
        <v>9748</v>
      </c>
      <c r="H156" s="4">
        <f t="shared" si="44"/>
        <v>630514</v>
      </c>
      <c r="I156" s="4">
        <f t="shared" si="45"/>
        <v>5.6591295396327568E-2</v>
      </c>
    </row>
    <row r="158" spans="3:9" x14ac:dyDescent="0.35">
      <c r="C158" s="1" t="s">
        <v>66</v>
      </c>
    </row>
    <row r="159" spans="3:9" x14ac:dyDescent="0.35">
      <c r="C159" s="1" t="s">
        <v>15</v>
      </c>
      <c r="D159" s="1" t="s">
        <v>77</v>
      </c>
      <c r="E159" s="1" t="s">
        <v>76</v>
      </c>
      <c r="F159" s="1" t="s">
        <v>75</v>
      </c>
      <c r="G159" s="1" t="s">
        <v>74</v>
      </c>
      <c r="H159" s="1" t="s">
        <v>73</v>
      </c>
      <c r="I159" s="1" t="s">
        <v>14</v>
      </c>
    </row>
    <row r="160" spans="3:9" x14ac:dyDescent="0.35">
      <c r="C160" s="4">
        <v>2</v>
      </c>
      <c r="D160" s="4">
        <v>28</v>
      </c>
      <c r="E160" s="4">
        <v>30</v>
      </c>
      <c r="F160" s="4">
        <v>21</v>
      </c>
      <c r="G160" s="4">
        <v>2</v>
      </c>
      <c r="H160" s="4">
        <f>SUM(F160:G160)</f>
        <v>23</v>
      </c>
      <c r="I160" s="4">
        <f>1-H160/D160</f>
        <v>0.1785714285714286</v>
      </c>
    </row>
    <row r="161" spans="3:9" x14ac:dyDescent="0.35">
      <c r="C161" s="4">
        <v>3</v>
      </c>
      <c r="D161" s="4">
        <v>46239</v>
      </c>
      <c r="E161" s="4">
        <v>49372</v>
      </c>
      <c r="F161" s="4">
        <v>13644</v>
      </c>
      <c r="G161" s="4">
        <v>7072</v>
      </c>
      <c r="H161" s="4">
        <f t="shared" ref="H161:H162" si="46">SUM(F161:G161)</f>
        <v>20716</v>
      </c>
      <c r="I161" s="4">
        <f t="shared" ref="I161:I162" si="47">1-H161/D161</f>
        <v>0.55197993036181581</v>
      </c>
    </row>
    <row r="162" spans="3:9" x14ac:dyDescent="0.35">
      <c r="C162" s="4">
        <v>4</v>
      </c>
      <c r="D162" s="4">
        <v>668432</v>
      </c>
      <c r="E162" s="4">
        <v>669727</v>
      </c>
      <c r="F162" s="4">
        <v>622114</v>
      </c>
      <c r="G162" s="4">
        <v>9780</v>
      </c>
      <c r="H162" s="4">
        <f t="shared" si="46"/>
        <v>631894</v>
      </c>
      <c r="I162" s="4">
        <f t="shared" si="47"/>
        <v>5.4662254350479889E-2</v>
      </c>
    </row>
    <row r="164" spans="3:9" x14ac:dyDescent="0.35">
      <c r="C164" s="1" t="s">
        <v>66</v>
      </c>
    </row>
    <row r="165" spans="3:9" x14ac:dyDescent="0.35">
      <c r="C165" s="1" t="s">
        <v>15</v>
      </c>
      <c r="D165" s="1" t="s">
        <v>78</v>
      </c>
      <c r="E165" s="1" t="s">
        <v>79</v>
      </c>
      <c r="F165" s="1" t="s">
        <v>80</v>
      </c>
      <c r="G165" s="1" t="s">
        <v>81</v>
      </c>
      <c r="H165" s="1" t="s">
        <v>82</v>
      </c>
      <c r="I165" s="1" t="s">
        <v>14</v>
      </c>
    </row>
    <row r="166" spans="3:9" x14ac:dyDescent="0.35">
      <c r="C166" s="4">
        <v>2</v>
      </c>
      <c r="D166" s="4">
        <v>28</v>
      </c>
      <c r="E166" s="4">
        <v>31</v>
      </c>
      <c r="F166" s="4">
        <v>19</v>
      </c>
      <c r="G166" s="4">
        <v>3</v>
      </c>
      <c r="H166" s="4">
        <f>SUM(F166:G166)</f>
        <v>22</v>
      </c>
      <c r="I166" s="4">
        <f>1-H166/D166</f>
        <v>0.2142857142857143</v>
      </c>
    </row>
    <row r="167" spans="3:9" x14ac:dyDescent="0.35">
      <c r="C167" s="4">
        <v>3</v>
      </c>
      <c r="D167" s="4">
        <v>46182</v>
      </c>
      <c r="E167" s="4">
        <v>49305</v>
      </c>
      <c r="F167" s="4">
        <v>13561</v>
      </c>
      <c r="G167" s="4">
        <v>7065</v>
      </c>
      <c r="H167" s="4">
        <f t="shared" ref="H167:H168" si="48">SUM(F167:G167)</f>
        <v>20626</v>
      </c>
      <c r="I167" s="4">
        <f t="shared" ref="I167:I168" si="49">1-H167/D167</f>
        <v>0.5533757741111256</v>
      </c>
    </row>
    <row r="168" spans="3:9" x14ac:dyDescent="0.35">
      <c r="C168" s="4">
        <v>4</v>
      </c>
      <c r="D168" s="4">
        <v>668432</v>
      </c>
      <c r="E168" s="4">
        <v>669843</v>
      </c>
      <c r="F168" s="4">
        <v>622132</v>
      </c>
      <c r="G168" s="4">
        <v>9791</v>
      </c>
      <c r="H168" s="4">
        <f t="shared" si="48"/>
        <v>631923</v>
      </c>
      <c r="I168" s="4">
        <f t="shared" si="49"/>
        <v>5.461886923426762E-2</v>
      </c>
    </row>
    <row r="170" spans="3:9" x14ac:dyDescent="0.35">
      <c r="C170" s="1" t="s">
        <v>66</v>
      </c>
    </row>
    <row r="171" spans="3:9" x14ac:dyDescent="0.35">
      <c r="C171" s="1" t="s">
        <v>15</v>
      </c>
      <c r="D171" s="1" t="s">
        <v>83</v>
      </c>
      <c r="E171" s="1" t="s">
        <v>84</v>
      </c>
      <c r="F171" s="1" t="s">
        <v>85</v>
      </c>
      <c r="G171" s="1" t="s">
        <v>86</v>
      </c>
      <c r="H171" s="1" t="s">
        <v>87</v>
      </c>
      <c r="I171" s="1" t="s">
        <v>14</v>
      </c>
    </row>
    <row r="172" spans="3:9" x14ac:dyDescent="0.35">
      <c r="C172" s="4">
        <v>2</v>
      </c>
      <c r="D172" s="4">
        <v>28</v>
      </c>
      <c r="E172" s="4">
        <v>30</v>
      </c>
      <c r="F172" s="4">
        <v>18</v>
      </c>
      <c r="G172" s="4">
        <v>3</v>
      </c>
      <c r="H172" s="4">
        <f>SUM(F172:G172)</f>
        <v>21</v>
      </c>
      <c r="I172" s="4">
        <f>1-H172/D172</f>
        <v>0.25</v>
      </c>
    </row>
    <row r="173" spans="3:9" x14ac:dyDescent="0.35">
      <c r="C173" s="4">
        <v>3</v>
      </c>
      <c r="D173" s="4">
        <v>46053</v>
      </c>
      <c r="E173" s="4">
        <v>49149</v>
      </c>
      <c r="F173" s="4">
        <v>13425</v>
      </c>
      <c r="G173" s="4">
        <v>7048</v>
      </c>
      <c r="H173" s="4">
        <f t="shared" ref="H173:H174" si="50">SUM(F173:G173)</f>
        <v>20473</v>
      </c>
      <c r="I173" s="4">
        <f t="shared" ref="I173:I174" si="51">1-H173/D173</f>
        <v>0.55544698499554856</v>
      </c>
    </row>
    <row r="174" spans="3:9" x14ac:dyDescent="0.35">
      <c r="C174" s="4">
        <v>4</v>
      </c>
      <c r="D174" s="4"/>
      <c r="E174" s="4"/>
      <c r="F174" s="4"/>
      <c r="G174" s="4"/>
      <c r="H174" s="4">
        <f t="shared" si="50"/>
        <v>0</v>
      </c>
      <c r="I174" s="4" t="e">
        <f t="shared" si="51"/>
        <v>#DIV/0!</v>
      </c>
    </row>
    <row r="175" spans="3:9" x14ac:dyDescent="0.35">
      <c r="C175" s="4"/>
      <c r="D175" s="4"/>
      <c r="E175" s="4"/>
      <c r="F175" s="4"/>
      <c r="G175" s="4"/>
      <c r="H175" s="4"/>
      <c r="I175" s="4"/>
    </row>
    <row r="176" spans="3:9" x14ac:dyDescent="0.35">
      <c r="C176" s="4" t="s">
        <v>162</v>
      </c>
      <c r="D176" s="4"/>
      <c r="E176" s="4"/>
      <c r="F176" s="4"/>
      <c r="G176" s="4"/>
      <c r="H176" s="4"/>
      <c r="I176" s="4"/>
    </row>
    <row r="177" spans="3:9" x14ac:dyDescent="0.35">
      <c r="C177" s="4" t="s">
        <v>119</v>
      </c>
      <c r="D177" s="1" t="s">
        <v>155</v>
      </c>
      <c r="E177" s="1" t="s">
        <v>156</v>
      </c>
      <c r="F177" s="1" t="s">
        <v>157</v>
      </c>
      <c r="G177" s="1" t="s">
        <v>158</v>
      </c>
      <c r="H177" s="1" t="s">
        <v>159</v>
      </c>
      <c r="I177" s="1" t="s">
        <v>14</v>
      </c>
    </row>
    <row r="178" spans="3:9" x14ac:dyDescent="0.35">
      <c r="C178" s="4">
        <v>1</v>
      </c>
      <c r="D178" s="4">
        <v>28</v>
      </c>
      <c r="E178" s="4">
        <v>28</v>
      </c>
      <c r="F178" s="4">
        <v>28</v>
      </c>
      <c r="G178" s="4">
        <v>1</v>
      </c>
      <c r="H178" s="4">
        <v>29</v>
      </c>
      <c r="I178" s="4">
        <v>-3.5714285714285809E-2</v>
      </c>
    </row>
    <row r="179" spans="3:9" x14ac:dyDescent="0.35">
      <c r="C179" s="4">
        <v>3</v>
      </c>
      <c r="D179" s="4">
        <v>28</v>
      </c>
      <c r="E179" s="4">
        <v>29</v>
      </c>
      <c r="F179" s="4">
        <v>24</v>
      </c>
      <c r="G179" s="4">
        <v>1</v>
      </c>
      <c r="H179" s="4">
        <v>25</v>
      </c>
      <c r="I179" s="4">
        <v>0.1071428571428571</v>
      </c>
    </row>
    <row r="180" spans="3:9" x14ac:dyDescent="0.35">
      <c r="C180" s="4">
        <v>5</v>
      </c>
      <c r="D180" s="4">
        <v>28</v>
      </c>
      <c r="E180" s="4">
        <v>30</v>
      </c>
      <c r="F180" s="4">
        <v>21</v>
      </c>
      <c r="G180" s="4">
        <v>2</v>
      </c>
      <c r="H180" s="4">
        <v>23</v>
      </c>
      <c r="I180" s="4">
        <v>0.1785714285714286</v>
      </c>
    </row>
    <row r="181" spans="3:9" x14ac:dyDescent="0.35">
      <c r="C181" s="4">
        <v>7</v>
      </c>
      <c r="D181" s="4">
        <v>28</v>
      </c>
      <c r="E181" s="4">
        <v>31</v>
      </c>
      <c r="F181" s="4">
        <v>19</v>
      </c>
      <c r="G181" s="4">
        <v>3</v>
      </c>
      <c r="H181" s="4">
        <v>22</v>
      </c>
      <c r="I181" s="4">
        <v>0.2142857142857143</v>
      </c>
    </row>
    <row r="182" spans="3:9" x14ac:dyDescent="0.35">
      <c r="C182" s="4">
        <v>10</v>
      </c>
      <c r="D182" s="4">
        <v>28</v>
      </c>
      <c r="E182" s="4">
        <v>30</v>
      </c>
      <c r="F182" s="4">
        <v>18</v>
      </c>
      <c r="G182" s="4">
        <v>3</v>
      </c>
      <c r="H182" s="4">
        <v>21</v>
      </c>
      <c r="I182" s="4">
        <v>0.25</v>
      </c>
    </row>
    <row r="183" spans="3:9" x14ac:dyDescent="0.35">
      <c r="C183" s="4"/>
      <c r="D183" s="4"/>
      <c r="E183" s="4"/>
      <c r="F183" s="4"/>
      <c r="G183" s="4"/>
      <c r="H183" s="4"/>
      <c r="I183" s="4"/>
    </row>
    <row r="184" spans="3:9" x14ac:dyDescent="0.35">
      <c r="C184" s="4" t="s">
        <v>171</v>
      </c>
      <c r="D184" s="4"/>
      <c r="E184" s="4"/>
      <c r="F184" s="4"/>
      <c r="G184" s="4"/>
      <c r="H184" s="4"/>
      <c r="I184" s="4"/>
    </row>
    <row r="185" spans="3:9" x14ac:dyDescent="0.35">
      <c r="C185" s="4" t="s">
        <v>119</v>
      </c>
      <c r="D185" s="1" t="s">
        <v>155</v>
      </c>
      <c r="E185" s="1" t="s">
        <v>156</v>
      </c>
      <c r="F185" s="1" t="s">
        <v>157</v>
      </c>
      <c r="G185" s="1" t="s">
        <v>158</v>
      </c>
      <c r="H185" s="1" t="s">
        <v>159</v>
      </c>
      <c r="I185" s="1" t="s">
        <v>14</v>
      </c>
    </row>
    <row r="186" spans="3:9" x14ac:dyDescent="0.35">
      <c r="C186" s="4">
        <v>1</v>
      </c>
      <c r="D186" s="4">
        <v>44855</v>
      </c>
      <c r="E186" s="4">
        <v>46766</v>
      </c>
      <c r="F186" s="4">
        <v>28618</v>
      </c>
      <c r="G186" s="4">
        <v>3511</v>
      </c>
      <c r="H186" s="4">
        <v>32129</v>
      </c>
      <c r="I186" s="4">
        <v>0.28371419016832011</v>
      </c>
    </row>
    <row r="187" spans="3:9" x14ac:dyDescent="0.35">
      <c r="C187" s="4">
        <v>3</v>
      </c>
      <c r="D187" s="4">
        <v>46056</v>
      </c>
      <c r="E187" s="4">
        <v>49082</v>
      </c>
      <c r="F187" s="4">
        <v>13960</v>
      </c>
      <c r="G187" s="4">
        <v>6977</v>
      </c>
      <c r="H187" s="4">
        <v>20937</v>
      </c>
      <c r="I187" s="4">
        <v>0.54540125065138101</v>
      </c>
    </row>
    <row r="188" spans="3:9" x14ac:dyDescent="0.35">
      <c r="C188" s="4">
        <v>5</v>
      </c>
      <c r="D188" s="4">
        <v>46239</v>
      </c>
      <c r="E188" s="4">
        <v>49372</v>
      </c>
      <c r="F188" s="4">
        <v>13644</v>
      </c>
      <c r="G188" s="4">
        <v>7072</v>
      </c>
      <c r="H188" s="4">
        <v>20716</v>
      </c>
      <c r="I188" s="4">
        <v>0.55197993036181581</v>
      </c>
    </row>
    <row r="189" spans="3:9" x14ac:dyDescent="0.35">
      <c r="C189" s="4">
        <v>7</v>
      </c>
      <c r="D189" s="4">
        <v>46182</v>
      </c>
      <c r="E189" s="4">
        <v>49305</v>
      </c>
      <c r="F189" s="4">
        <v>13561</v>
      </c>
      <c r="G189" s="4">
        <v>7065</v>
      </c>
      <c r="H189" s="4">
        <v>20626</v>
      </c>
      <c r="I189" s="4">
        <v>0.5533757741111256</v>
      </c>
    </row>
    <row r="190" spans="3:9" x14ac:dyDescent="0.35">
      <c r="C190" s="4">
        <v>10</v>
      </c>
      <c r="D190" s="4">
        <v>46053</v>
      </c>
      <c r="E190" s="4">
        <v>49149</v>
      </c>
      <c r="F190" s="4">
        <v>13425</v>
      </c>
      <c r="G190" s="4">
        <v>7048</v>
      </c>
      <c r="H190" s="4">
        <v>20473</v>
      </c>
      <c r="I190" s="4">
        <v>0.55544698499554856</v>
      </c>
    </row>
    <row r="191" spans="3:9" x14ac:dyDescent="0.35">
      <c r="C191" s="4"/>
      <c r="D191" s="4"/>
      <c r="E191" s="4"/>
      <c r="F191" s="4"/>
      <c r="G191" s="4"/>
      <c r="H191" s="4"/>
      <c r="I191" s="4"/>
    </row>
    <row r="192" spans="3:9" x14ac:dyDescent="0.35">
      <c r="C192" s="4"/>
      <c r="D192" s="4"/>
      <c r="E192" s="4"/>
      <c r="F192" s="4"/>
      <c r="G192" s="4"/>
      <c r="H192" s="4"/>
      <c r="I192" s="4"/>
    </row>
    <row r="193" spans="3:9" x14ac:dyDescent="0.35">
      <c r="C193" s="4"/>
      <c r="D193" s="4"/>
      <c r="E193" s="4"/>
      <c r="F193" s="4"/>
      <c r="G193" s="4"/>
      <c r="H193" s="4"/>
      <c r="I193" s="4"/>
    </row>
    <row r="195" spans="3:9" x14ac:dyDescent="0.35">
      <c r="C195" s="1" t="s">
        <v>106</v>
      </c>
    </row>
    <row r="196" spans="3:9" x14ac:dyDescent="0.35">
      <c r="C196" s="1" t="s">
        <v>15</v>
      </c>
      <c r="D196" s="1" t="s">
        <v>107</v>
      </c>
      <c r="E196" s="1" t="s">
        <v>108</v>
      </c>
      <c r="F196" s="1" t="s">
        <v>109</v>
      </c>
      <c r="G196" s="1" t="s">
        <v>110</v>
      </c>
      <c r="H196" s="1" t="s">
        <v>111</v>
      </c>
      <c r="I196" s="1" t="s">
        <v>112</v>
      </c>
    </row>
    <row r="197" spans="3:9" x14ac:dyDescent="0.35">
      <c r="C197" s="4">
        <v>2</v>
      </c>
      <c r="D197" s="4">
        <v>560</v>
      </c>
      <c r="E197" s="4">
        <v>560</v>
      </c>
      <c r="F197" s="4">
        <v>560</v>
      </c>
      <c r="G197" s="4">
        <v>0</v>
      </c>
      <c r="H197" s="4">
        <f>G197/D197</f>
        <v>0</v>
      </c>
      <c r="I197" s="4">
        <f>G197/F197</f>
        <v>0</v>
      </c>
    </row>
    <row r="198" spans="3:9" x14ac:dyDescent="0.35">
      <c r="C198" s="4">
        <v>3</v>
      </c>
      <c r="D198" s="4">
        <v>807151</v>
      </c>
      <c r="E198" s="4">
        <v>807151</v>
      </c>
      <c r="F198" s="4">
        <v>515751</v>
      </c>
      <c r="G198" s="4">
        <v>291400</v>
      </c>
      <c r="H198" s="4">
        <f t="shared" ref="H198:H199" si="52">G198/D198</f>
        <v>0.36102290649457164</v>
      </c>
      <c r="I198" s="4">
        <f t="shared" ref="I198:I199" si="53">G198/F198</f>
        <v>0.56500132816029436</v>
      </c>
    </row>
    <row r="199" spans="3:9" x14ac:dyDescent="0.35">
      <c r="C199" s="4">
        <v>4</v>
      </c>
      <c r="D199" s="4">
        <v>10723548</v>
      </c>
      <c r="E199" s="4">
        <v>10723548</v>
      </c>
      <c r="F199" s="4">
        <v>10252829</v>
      </c>
      <c r="G199" s="4">
        <v>370719</v>
      </c>
      <c r="H199" s="4">
        <f t="shared" si="52"/>
        <v>3.4570554447091575E-2</v>
      </c>
      <c r="I199" s="4">
        <f t="shared" si="53"/>
        <v>3.615772778420473E-2</v>
      </c>
    </row>
    <row r="201" spans="3:9" x14ac:dyDescent="0.35">
      <c r="C201" s="1" t="s">
        <v>106</v>
      </c>
    </row>
    <row r="202" spans="3:9" x14ac:dyDescent="0.35">
      <c r="C202" s="1" t="s">
        <v>15</v>
      </c>
      <c r="D202" s="1" t="s">
        <v>129</v>
      </c>
      <c r="E202" s="1" t="s">
        <v>128</v>
      </c>
      <c r="F202" s="1" t="s">
        <v>127</v>
      </c>
      <c r="G202" s="1" t="s">
        <v>126</v>
      </c>
      <c r="H202" s="1" t="s">
        <v>125</v>
      </c>
      <c r="I202" s="1" t="s">
        <v>124</v>
      </c>
    </row>
    <row r="203" spans="3:9" x14ac:dyDescent="0.35">
      <c r="C203" s="4">
        <v>2</v>
      </c>
      <c r="D203" s="4">
        <v>564</v>
      </c>
      <c r="E203" s="4">
        <v>564</v>
      </c>
      <c r="F203" s="4">
        <v>482</v>
      </c>
      <c r="G203" s="4">
        <v>82</v>
      </c>
      <c r="H203" s="4">
        <f>G203/D203</f>
        <v>0.1453900709219858</v>
      </c>
      <c r="I203" s="4">
        <f>G203/F203</f>
        <v>0.17012448132780084</v>
      </c>
    </row>
    <row r="204" spans="3:9" x14ac:dyDescent="0.35">
      <c r="C204" s="4">
        <v>3</v>
      </c>
      <c r="D204" s="4">
        <v>821613</v>
      </c>
      <c r="E204" s="4">
        <v>821613</v>
      </c>
      <c r="F204" s="4">
        <v>255887</v>
      </c>
      <c r="G204" s="4">
        <v>565726</v>
      </c>
      <c r="H204" s="4">
        <f t="shared" ref="H204:H205" si="54">G204/D204</f>
        <v>0.68855531740612674</v>
      </c>
      <c r="I204" s="4">
        <f t="shared" ref="I204:I205" si="55">G204/F204</f>
        <v>2.2108430674477404</v>
      </c>
    </row>
    <row r="205" spans="3:9" x14ac:dyDescent="0.35">
      <c r="C205" s="4">
        <v>4</v>
      </c>
      <c r="D205" s="4">
        <v>10697989</v>
      </c>
      <c r="E205" s="4">
        <v>10697989</v>
      </c>
      <c r="F205" s="4">
        <v>9972824</v>
      </c>
      <c r="G205" s="4">
        <v>725166</v>
      </c>
      <c r="H205" s="4">
        <f t="shared" si="54"/>
        <v>6.7785263192923453E-2</v>
      </c>
      <c r="I205" s="4">
        <f t="shared" si="55"/>
        <v>7.2714208132019578E-2</v>
      </c>
    </row>
    <row r="207" spans="3:9" x14ac:dyDescent="0.35">
      <c r="C207" s="1" t="s">
        <v>106</v>
      </c>
    </row>
    <row r="208" spans="3:9" x14ac:dyDescent="0.35">
      <c r="C208" s="1" t="s">
        <v>15</v>
      </c>
      <c r="D208" s="1" t="s">
        <v>130</v>
      </c>
      <c r="E208" s="1" t="s">
        <v>131</v>
      </c>
      <c r="F208" s="1" t="s">
        <v>132</v>
      </c>
      <c r="G208" s="1" t="s">
        <v>133</v>
      </c>
      <c r="H208" s="1" t="s">
        <v>134</v>
      </c>
      <c r="I208" s="1" t="s">
        <v>135</v>
      </c>
    </row>
    <row r="209" spans="3:9" x14ac:dyDescent="0.35">
      <c r="C209" s="4">
        <v>2</v>
      </c>
      <c r="D209" s="4">
        <v>571</v>
      </c>
      <c r="E209" s="4">
        <v>571</v>
      </c>
      <c r="F209" s="4">
        <v>400</v>
      </c>
      <c r="G209" s="4">
        <v>171</v>
      </c>
      <c r="H209" s="4">
        <f>G209/D209</f>
        <v>0.29947460595446584</v>
      </c>
      <c r="I209" s="4">
        <f>G209/F209</f>
        <v>0.42749999999999999</v>
      </c>
    </row>
    <row r="210" spans="3:9" x14ac:dyDescent="0.35">
      <c r="C210" s="4">
        <v>3</v>
      </c>
      <c r="D210" s="4">
        <v>825366</v>
      </c>
      <c r="E210" s="4">
        <v>825366</v>
      </c>
      <c r="F210" s="4">
        <v>250548</v>
      </c>
      <c r="G210" s="4">
        <v>574818</v>
      </c>
      <c r="H210" s="4">
        <f t="shared" ref="H210:H211" si="56">G210/D210</f>
        <v>0.69644012474465877</v>
      </c>
      <c r="I210" s="4">
        <f t="shared" ref="I210:I211" si="57">G210/F210</f>
        <v>2.2942430193016907</v>
      </c>
    </row>
    <row r="211" spans="3:9" x14ac:dyDescent="0.35">
      <c r="C211" s="4">
        <v>4</v>
      </c>
      <c r="D211" s="4">
        <v>10721289</v>
      </c>
      <c r="E211" s="4">
        <v>10721289</v>
      </c>
      <c r="F211" s="4">
        <v>9994426</v>
      </c>
      <c r="G211" s="4">
        <v>726863</v>
      </c>
      <c r="H211" s="4">
        <f t="shared" si="56"/>
        <v>6.7796232337361678E-2</v>
      </c>
      <c r="I211" s="4">
        <f t="shared" si="57"/>
        <v>7.2726837939467465E-2</v>
      </c>
    </row>
    <row r="213" spans="3:9" x14ac:dyDescent="0.35">
      <c r="C213" s="1" t="s">
        <v>106</v>
      </c>
    </row>
    <row r="214" spans="3:9" x14ac:dyDescent="0.35">
      <c r="C214" s="1" t="s">
        <v>15</v>
      </c>
      <c r="D214" s="1" t="s">
        <v>141</v>
      </c>
      <c r="E214" s="1" t="s">
        <v>140</v>
      </c>
      <c r="F214" s="1" t="s">
        <v>139</v>
      </c>
      <c r="G214" s="1" t="s">
        <v>138</v>
      </c>
      <c r="H214" s="1" t="s">
        <v>137</v>
      </c>
      <c r="I214" s="1" t="s">
        <v>136</v>
      </c>
    </row>
    <row r="215" spans="3:9" x14ac:dyDescent="0.35">
      <c r="C215" s="4">
        <v>2</v>
      </c>
      <c r="D215" s="4">
        <v>586</v>
      </c>
      <c r="E215" s="4">
        <v>586</v>
      </c>
      <c r="F215" s="4">
        <v>379</v>
      </c>
      <c r="G215" s="4">
        <v>207</v>
      </c>
      <c r="H215" s="4">
        <f>G215/D215</f>
        <v>0.35324232081911261</v>
      </c>
      <c r="I215" s="4">
        <f>G215/F215</f>
        <v>0.54617414248021112</v>
      </c>
    </row>
    <row r="216" spans="3:9" x14ac:dyDescent="0.35">
      <c r="C216" s="4">
        <v>3</v>
      </c>
      <c r="D216" s="4">
        <v>824494</v>
      </c>
      <c r="E216" s="4">
        <v>824494</v>
      </c>
      <c r="F216" s="4">
        <v>249231</v>
      </c>
      <c r="G216" s="4">
        <v>575263</v>
      </c>
      <c r="H216" s="4">
        <f t="shared" ref="H216:H217" si="58">G216/D216</f>
        <v>0.69771641758460345</v>
      </c>
      <c r="I216" s="4">
        <f t="shared" ref="I216:I217" si="59">G216/F216</f>
        <v>2.3081518751680168</v>
      </c>
    </row>
    <row r="217" spans="3:9" x14ac:dyDescent="0.35">
      <c r="C217" s="4">
        <v>4</v>
      </c>
      <c r="D217" s="4">
        <v>10722481</v>
      </c>
      <c r="E217" s="4">
        <v>10722481</v>
      </c>
      <c r="F217" s="4">
        <v>9994514</v>
      </c>
      <c r="G217" s="4">
        <v>727967</v>
      </c>
      <c r="H217" s="4">
        <f t="shared" si="58"/>
        <v>6.7891656790998275E-2</v>
      </c>
      <c r="I217" s="4">
        <f t="shared" si="59"/>
        <v>7.2836658190683412E-2</v>
      </c>
    </row>
    <row r="219" spans="3:9" x14ac:dyDescent="0.35">
      <c r="C219" s="1" t="s">
        <v>106</v>
      </c>
    </row>
    <row r="220" spans="3:9" x14ac:dyDescent="0.35">
      <c r="C220" s="1" t="s">
        <v>15</v>
      </c>
      <c r="D220" s="1" t="s">
        <v>142</v>
      </c>
      <c r="E220" s="1" t="s">
        <v>143</v>
      </c>
      <c r="F220" s="1" t="s">
        <v>144</v>
      </c>
      <c r="G220" s="1" t="s">
        <v>145</v>
      </c>
      <c r="H220" s="1" t="s">
        <v>146</v>
      </c>
      <c r="I220" s="1" t="s">
        <v>147</v>
      </c>
    </row>
    <row r="221" spans="3:9" x14ac:dyDescent="0.35">
      <c r="C221" s="4">
        <v>2</v>
      </c>
      <c r="D221" s="4">
        <v>557</v>
      </c>
      <c r="E221" s="4">
        <v>557</v>
      </c>
      <c r="F221" s="4">
        <v>351</v>
      </c>
      <c r="G221" s="4">
        <v>206</v>
      </c>
      <c r="H221" s="4">
        <f>G221/D221</f>
        <v>0.36983842010771995</v>
      </c>
      <c r="I221" s="4">
        <f>G221/F221</f>
        <v>0.58689458689458684</v>
      </c>
    </row>
    <row r="222" spans="3:9" x14ac:dyDescent="0.35">
      <c r="C222" s="4">
        <v>3</v>
      </c>
      <c r="D222" s="4">
        <v>821334</v>
      </c>
      <c r="E222" s="4">
        <v>821334</v>
      </c>
      <c r="F222" s="4">
        <v>246781</v>
      </c>
      <c r="G222" s="4">
        <v>574553</v>
      </c>
      <c r="H222" s="4">
        <f t="shared" ref="H222:H223" si="60">G222/D222</f>
        <v>0.69953636401269159</v>
      </c>
      <c r="I222" s="4">
        <f t="shared" ref="I222:I223" si="61">G222/F222</f>
        <v>2.3281897714978057</v>
      </c>
    </row>
    <row r="223" spans="3:9" x14ac:dyDescent="0.35">
      <c r="C223" s="4">
        <v>4</v>
      </c>
      <c r="D223" s="4"/>
      <c r="E223" s="4"/>
      <c r="F223" s="4"/>
      <c r="G223" s="4"/>
      <c r="H223" s="4" t="e">
        <f t="shared" si="60"/>
        <v>#DIV/0!</v>
      </c>
      <c r="I223" s="4" t="e">
        <f t="shared" si="61"/>
        <v>#DIV/0!</v>
      </c>
    </row>
    <row r="225" spans="3:9" x14ac:dyDescent="0.35">
      <c r="C225" s="1" t="s">
        <v>148</v>
      </c>
    </row>
    <row r="226" spans="3:9" x14ac:dyDescent="0.35">
      <c r="C226" s="1" t="s">
        <v>119</v>
      </c>
      <c r="D226" s="1" t="s">
        <v>149</v>
      </c>
      <c r="E226" s="1" t="s">
        <v>150</v>
      </c>
      <c r="F226" s="1" t="s">
        <v>151</v>
      </c>
      <c r="G226" s="1" t="s">
        <v>152</v>
      </c>
      <c r="H226" s="1" t="s">
        <v>153</v>
      </c>
      <c r="I226" s="1" t="s">
        <v>154</v>
      </c>
    </row>
    <row r="227" spans="3:9" x14ac:dyDescent="0.35">
      <c r="C227" s="1" t="s">
        <v>25</v>
      </c>
      <c r="D227" s="4">
        <v>560</v>
      </c>
      <c r="E227" s="4">
        <v>560</v>
      </c>
      <c r="F227" s="4">
        <v>560</v>
      </c>
      <c r="G227" s="4">
        <v>0</v>
      </c>
      <c r="H227" s="4">
        <v>0</v>
      </c>
      <c r="I227" s="4">
        <v>0</v>
      </c>
    </row>
    <row r="228" spans="3:9" x14ac:dyDescent="0.35">
      <c r="C228" s="1" t="s">
        <v>8</v>
      </c>
      <c r="D228" s="4">
        <v>564</v>
      </c>
      <c r="E228" s="4">
        <v>564</v>
      </c>
      <c r="F228" s="4">
        <v>482</v>
      </c>
      <c r="G228" s="4">
        <v>82</v>
      </c>
      <c r="H228" s="4">
        <v>0.1453900709219858</v>
      </c>
      <c r="I228" s="4">
        <v>0.17012448132780084</v>
      </c>
    </row>
    <row r="229" spans="3:9" x14ac:dyDescent="0.35">
      <c r="C229" s="1" t="s">
        <v>120</v>
      </c>
      <c r="D229" s="4">
        <v>571</v>
      </c>
      <c r="E229" s="4">
        <v>571</v>
      </c>
      <c r="F229" s="4">
        <v>400</v>
      </c>
      <c r="G229" s="4">
        <v>171</v>
      </c>
      <c r="H229" s="4">
        <v>0.29947460595446584</v>
      </c>
      <c r="I229" s="4">
        <v>0.42749999999999999</v>
      </c>
    </row>
    <row r="230" spans="3:9" x14ac:dyDescent="0.35">
      <c r="C230" s="1" t="s">
        <v>121</v>
      </c>
      <c r="D230" s="4">
        <v>586</v>
      </c>
      <c r="E230" s="4">
        <v>586</v>
      </c>
      <c r="F230" s="4">
        <v>379</v>
      </c>
      <c r="G230" s="4">
        <v>207</v>
      </c>
      <c r="H230" s="4">
        <v>0.35324232081911261</v>
      </c>
      <c r="I230" s="4">
        <v>0.54617414248021112</v>
      </c>
    </row>
    <row r="231" spans="3:9" x14ac:dyDescent="0.35">
      <c r="C231" s="1" t="s">
        <v>122</v>
      </c>
      <c r="D231" s="4">
        <v>557</v>
      </c>
      <c r="E231" s="4">
        <v>557</v>
      </c>
      <c r="F231" s="4">
        <v>351</v>
      </c>
      <c r="G231" s="4">
        <v>206</v>
      </c>
      <c r="H231" s="4">
        <v>0.36983842010771995</v>
      </c>
      <c r="I231" s="4">
        <v>0.58689458689458684</v>
      </c>
    </row>
    <row r="234" spans="3:9" x14ac:dyDescent="0.35">
      <c r="C234" s="1" t="s">
        <v>172</v>
      </c>
    </row>
    <row r="235" spans="3:9" x14ac:dyDescent="0.35">
      <c r="C235" s="1" t="s">
        <v>119</v>
      </c>
      <c r="D235" s="1" t="s">
        <v>149</v>
      </c>
      <c r="E235" s="1" t="s">
        <v>150</v>
      </c>
      <c r="F235" s="1" t="s">
        <v>151</v>
      </c>
      <c r="G235" s="1" t="s">
        <v>152</v>
      </c>
      <c r="H235" s="1" t="s">
        <v>153</v>
      </c>
      <c r="I235" s="1" t="s">
        <v>154</v>
      </c>
    </row>
    <row r="236" spans="3:9" x14ac:dyDescent="0.35">
      <c r="C236" s="1" t="s">
        <v>25</v>
      </c>
      <c r="D236" s="4">
        <v>807151</v>
      </c>
      <c r="E236" s="4">
        <v>807151</v>
      </c>
      <c r="F236" s="4">
        <v>515751</v>
      </c>
      <c r="G236" s="4">
        <v>291400</v>
      </c>
      <c r="H236" s="4">
        <v>0.36102290649457164</v>
      </c>
      <c r="I236" s="4">
        <v>0.56500132816029436</v>
      </c>
    </row>
    <row r="237" spans="3:9" x14ac:dyDescent="0.35">
      <c r="C237" s="1" t="s">
        <v>8</v>
      </c>
      <c r="D237" s="4">
        <v>821613</v>
      </c>
      <c r="E237" s="4">
        <v>821613</v>
      </c>
      <c r="F237" s="4">
        <v>255887</v>
      </c>
      <c r="G237" s="4">
        <v>565726</v>
      </c>
      <c r="H237" s="4">
        <v>0.68855531740612674</v>
      </c>
      <c r="I237" s="4">
        <v>2.2108430674477404</v>
      </c>
    </row>
    <row r="238" spans="3:9" x14ac:dyDescent="0.35">
      <c r="C238" s="1" t="s">
        <v>120</v>
      </c>
      <c r="D238" s="4">
        <v>825366</v>
      </c>
      <c r="E238" s="4">
        <v>825366</v>
      </c>
      <c r="F238" s="4">
        <v>250548</v>
      </c>
      <c r="G238" s="4">
        <v>574818</v>
      </c>
      <c r="H238" s="4">
        <v>0.69644012474465877</v>
      </c>
      <c r="I238" s="4">
        <v>2.2942430193016907</v>
      </c>
    </row>
    <row r="239" spans="3:9" x14ac:dyDescent="0.35">
      <c r="C239" s="1" t="s">
        <v>121</v>
      </c>
      <c r="D239" s="4">
        <v>824494</v>
      </c>
      <c r="E239" s="4">
        <v>824494</v>
      </c>
      <c r="F239" s="4">
        <v>249231</v>
      </c>
      <c r="G239" s="4">
        <v>575263</v>
      </c>
      <c r="H239" s="4">
        <v>0.69771641758460345</v>
      </c>
      <c r="I239" s="4">
        <v>2.3081518751680168</v>
      </c>
    </row>
    <row r="240" spans="3:9" x14ac:dyDescent="0.35">
      <c r="C240" s="1" t="s">
        <v>122</v>
      </c>
      <c r="D240" s="4">
        <v>821334</v>
      </c>
      <c r="E240" s="4">
        <v>821334</v>
      </c>
      <c r="F240" s="4">
        <v>246781</v>
      </c>
      <c r="G240" s="4">
        <v>574553</v>
      </c>
      <c r="H240" s="4">
        <v>0.69953636401269159</v>
      </c>
      <c r="I240" s="4">
        <v>2.3281897714978057</v>
      </c>
    </row>
    <row r="245" spans="3:6" x14ac:dyDescent="0.35">
      <c r="C245" s="1" t="s">
        <v>173</v>
      </c>
    </row>
    <row r="246" spans="3:6" x14ac:dyDescent="0.35">
      <c r="C246" s="1" t="s">
        <v>164</v>
      </c>
      <c r="D246" s="1" t="s">
        <v>174</v>
      </c>
      <c r="E246" s="1" t="s">
        <v>175</v>
      </c>
      <c r="F246" s="1" t="s">
        <v>176</v>
      </c>
    </row>
    <row r="247" spans="3:6" x14ac:dyDescent="0.35">
      <c r="C247" s="1" t="s">
        <v>7</v>
      </c>
    </row>
    <row r="248" spans="3:6" x14ac:dyDescent="0.35">
      <c r="C248" s="1" t="s">
        <v>8</v>
      </c>
    </row>
    <row r="249" spans="3:6" x14ac:dyDescent="0.35">
      <c r="C249" s="1" t="s">
        <v>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Werner</dc:creator>
  <cp:lastModifiedBy>Stefan Werner</cp:lastModifiedBy>
  <dcterms:created xsi:type="dcterms:W3CDTF">2026-04-29T05:59:30Z</dcterms:created>
  <dcterms:modified xsi:type="dcterms:W3CDTF">2026-05-01T15:05:13Z</dcterms:modified>
</cp:coreProperties>
</file>