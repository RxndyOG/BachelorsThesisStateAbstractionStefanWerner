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fan\Documents\Coding\Python\Bachelor\Thesis\"/>
    </mc:Choice>
  </mc:AlternateContent>
  <xr:revisionPtr revIDLastSave="0" documentId="13_ncr:1_{7AAA8D2D-8256-452C-805A-7F9854800E99}" xr6:coauthVersionLast="47" xr6:coauthVersionMax="47" xr10:uidLastSave="{00000000-0000-0000-0000-000000000000}"/>
  <bookViews>
    <workbookView xWindow="-110" yWindow="-110" windowWidth="19420" windowHeight="11500" xr2:uid="{D4B319D3-4CDC-4AA8-90B4-403CDF3E49C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12" i="1" l="1"/>
  <c r="K112" i="1" s="1"/>
  <c r="I112" i="1"/>
  <c r="H112" i="1"/>
  <c r="J111" i="1"/>
  <c r="K111" i="1" s="1"/>
  <c r="I111" i="1"/>
  <c r="H111" i="1"/>
  <c r="J108" i="1"/>
  <c r="K108" i="1" s="1"/>
  <c r="I108" i="1"/>
  <c r="H108" i="1"/>
  <c r="I201" i="1"/>
  <c r="H201" i="1"/>
  <c r="I200" i="1"/>
  <c r="H200" i="1"/>
  <c r="I199" i="1"/>
  <c r="H199" i="1"/>
  <c r="I195" i="1"/>
  <c r="H195" i="1"/>
  <c r="I194" i="1"/>
  <c r="H194" i="1"/>
  <c r="I193" i="1"/>
  <c r="H193" i="1"/>
  <c r="I189" i="1"/>
  <c r="H189" i="1"/>
  <c r="I188" i="1"/>
  <c r="H188" i="1"/>
  <c r="I187" i="1"/>
  <c r="H187" i="1"/>
  <c r="I183" i="1"/>
  <c r="H183" i="1"/>
  <c r="I182" i="1"/>
  <c r="H182" i="1"/>
  <c r="I181" i="1"/>
  <c r="H181" i="1"/>
  <c r="J95" i="1"/>
  <c r="K95" i="1" s="1"/>
  <c r="J89" i="1"/>
  <c r="K89" i="1" s="1"/>
  <c r="H90" i="1"/>
  <c r="H95" i="1"/>
  <c r="H96" i="1"/>
  <c r="H89" i="1"/>
  <c r="J104" i="1"/>
  <c r="K104" i="1" s="1"/>
  <c r="I104" i="1"/>
  <c r="H104" i="1"/>
  <c r="J103" i="1"/>
  <c r="K103" i="1" s="1"/>
  <c r="I103" i="1"/>
  <c r="H103" i="1"/>
  <c r="J102" i="1"/>
  <c r="K102" i="1" s="1"/>
  <c r="I102" i="1"/>
  <c r="H102" i="1"/>
  <c r="J101" i="1"/>
  <c r="K101" i="1" s="1"/>
  <c r="I101" i="1"/>
  <c r="H101" i="1"/>
  <c r="J100" i="1"/>
  <c r="K100" i="1" s="1"/>
  <c r="I100" i="1"/>
  <c r="H100" i="1"/>
  <c r="I176" i="1"/>
  <c r="I177" i="1"/>
  <c r="I175" i="1"/>
  <c r="H176" i="1"/>
  <c r="H177" i="1"/>
  <c r="H175" i="1"/>
  <c r="J96" i="1"/>
  <c r="K96" i="1" s="1"/>
  <c r="J94" i="1"/>
  <c r="K94" i="1" s="1"/>
  <c r="J90" i="1"/>
  <c r="K90" i="1" s="1"/>
  <c r="J88" i="1"/>
  <c r="K88" i="1" s="1"/>
  <c r="J84" i="1"/>
  <c r="K84" i="1" s="1"/>
  <c r="J83" i="1"/>
  <c r="K83" i="1" s="1"/>
  <c r="J82" i="1"/>
  <c r="K82" i="1" s="1"/>
  <c r="J78" i="1"/>
  <c r="K78" i="1" s="1"/>
  <c r="J77" i="1"/>
  <c r="K77" i="1" s="1"/>
  <c r="J76" i="1"/>
  <c r="K76" i="1" s="1"/>
  <c r="J71" i="1"/>
  <c r="K71" i="1" s="1"/>
  <c r="J72" i="1"/>
  <c r="K72" i="1" s="1"/>
  <c r="J70" i="1"/>
  <c r="K70" i="1" s="1"/>
  <c r="I96" i="1"/>
  <c r="I95" i="1"/>
  <c r="I94" i="1"/>
  <c r="I90" i="1"/>
  <c r="I89" i="1"/>
  <c r="I88" i="1"/>
  <c r="I84" i="1"/>
  <c r="I83" i="1"/>
  <c r="I82" i="1"/>
  <c r="I78" i="1"/>
  <c r="I77" i="1"/>
  <c r="I76" i="1"/>
  <c r="I71" i="1"/>
  <c r="I72" i="1"/>
  <c r="I70" i="1"/>
  <c r="H161" i="1"/>
  <c r="I161" i="1" s="1"/>
  <c r="H160" i="1"/>
  <c r="I160" i="1" s="1"/>
  <c r="H159" i="1"/>
  <c r="I159" i="1" s="1"/>
  <c r="H155" i="1"/>
  <c r="I155" i="1" s="1"/>
  <c r="H154" i="1"/>
  <c r="I154" i="1" s="1"/>
  <c r="H153" i="1"/>
  <c r="I153" i="1" s="1"/>
  <c r="H149" i="1"/>
  <c r="I149" i="1" s="1"/>
  <c r="H148" i="1"/>
  <c r="I148" i="1" s="1"/>
  <c r="H147" i="1"/>
  <c r="I147" i="1" s="1"/>
  <c r="H143" i="1"/>
  <c r="I143" i="1" s="1"/>
  <c r="H142" i="1"/>
  <c r="I142" i="1" s="1"/>
  <c r="H141" i="1"/>
  <c r="I141" i="1" s="1"/>
  <c r="H136" i="1"/>
  <c r="I136" i="1" s="1"/>
  <c r="H137" i="1"/>
  <c r="I137" i="1" s="1"/>
  <c r="H135" i="1"/>
  <c r="I135" i="1" s="1"/>
  <c r="H83" i="1"/>
  <c r="H77" i="1"/>
  <c r="H71" i="1"/>
  <c r="H72" i="1"/>
  <c r="H76" i="1"/>
  <c r="H94" i="1"/>
  <c r="H88" i="1"/>
  <c r="H82" i="1"/>
  <c r="H70" i="1"/>
  <c r="G64" i="1"/>
  <c r="G65" i="1"/>
  <c r="G63" i="1"/>
  <c r="E64" i="1"/>
  <c r="E65" i="1"/>
  <c r="E63" i="1"/>
  <c r="G58" i="1"/>
  <c r="H58" i="1" s="1"/>
  <c r="G59" i="1"/>
  <c r="H59" i="1" s="1"/>
  <c r="G57" i="1"/>
  <c r="H57" i="1" s="1"/>
  <c r="M4" i="1"/>
  <c r="M5" i="1"/>
  <c r="M3" i="1"/>
  <c r="G5" i="1"/>
  <c r="G4" i="1"/>
  <c r="G3" i="1"/>
</calcChain>
</file>

<file path=xl/sharedStrings.xml><?xml version="1.0" encoding="utf-8"?>
<sst xmlns="http://schemas.openxmlformats.org/spreadsheetml/2006/main" count="242" uniqueCount="162">
  <si>
    <t>grid_size</t>
  </si>
  <si>
    <t>training without saving</t>
  </si>
  <si>
    <t>normal_q_table</t>
  </si>
  <si>
    <t>split_parent_child</t>
  </si>
  <si>
    <t>reconstruct_q_table</t>
  </si>
  <si>
    <t>Total Time</t>
  </si>
  <si>
    <t>Grid_size</t>
  </si>
  <si>
    <t>2</t>
  </si>
  <si>
    <t>3</t>
  </si>
  <si>
    <t>4</t>
  </si>
  <si>
    <t>times best single out of 1000</t>
  </si>
  <si>
    <t>times best reconstructed out of 1000</t>
  </si>
  <si>
    <t>504</t>
  </si>
  <si>
    <t>496</t>
  </si>
  <si>
    <t>Storage Reduction</t>
  </si>
  <si>
    <t>Grid Size</t>
  </si>
  <si>
    <t>original</t>
  </si>
  <si>
    <t>26</t>
  </si>
  <si>
    <t>161.325</t>
  </si>
  <si>
    <t>19.427</t>
  </si>
  <si>
    <t>parent</t>
  </si>
  <si>
    <t>22</t>
  </si>
  <si>
    <t>9.074</t>
  </si>
  <si>
    <t>170.356</t>
  </si>
  <si>
    <t>child</t>
  </si>
  <si>
    <t>1</t>
  </si>
  <si>
    <t>2.444</t>
  </si>
  <si>
    <t>1.788</t>
  </si>
  <si>
    <t>reconstructed</t>
  </si>
  <si>
    <t>20.223</t>
  </si>
  <si>
    <t>161.845</t>
  </si>
  <si>
    <t>M'</t>
  </si>
  <si>
    <t>Child Abstraction Ratio</t>
  </si>
  <si>
    <t>grid</t>
  </si>
  <si>
    <t>child number states</t>
  </si>
  <si>
    <t>Child abstraction ratio</t>
  </si>
  <si>
    <t>Parent</t>
  </si>
  <si>
    <t>Single_Depth_1</t>
  </si>
  <si>
    <t>Reconstructed_Depth_1</t>
  </si>
  <si>
    <t>Splitting_Depth_1</t>
  </si>
  <si>
    <t>Training_1</t>
  </si>
  <si>
    <t>Total_Time_Depth_1</t>
  </si>
  <si>
    <t>Training_3</t>
  </si>
  <si>
    <t>Single_Depth_3</t>
  </si>
  <si>
    <t>Reconstructed_Depth_3</t>
  </si>
  <si>
    <t>Splitting_Depth_3</t>
  </si>
  <si>
    <t>Total_Time_Depth_3</t>
  </si>
  <si>
    <t>Total_Time_Depth_5</t>
  </si>
  <si>
    <t>Splitting_Depth_5</t>
  </si>
  <si>
    <t>Reconstructed_Depth_5</t>
  </si>
  <si>
    <t>Single_Depth_5</t>
  </si>
  <si>
    <t>Training_5</t>
  </si>
  <si>
    <t>Training_7</t>
  </si>
  <si>
    <t>Single_Depth_7</t>
  </si>
  <si>
    <t>Reconstructed_Depth_7</t>
  </si>
  <si>
    <t>Splitting_Depth_7</t>
  </si>
  <si>
    <t>Total_Time_Depth_7</t>
  </si>
  <si>
    <t>Training_10</t>
  </si>
  <si>
    <t>Single_Depth_10</t>
  </si>
  <si>
    <t>Reconstructed_Depth_10</t>
  </si>
  <si>
    <t>Splitting_Depth_10</t>
  </si>
  <si>
    <t>Total_Time_Depth_10</t>
  </si>
  <si>
    <t>Reconstructed Q-table_Depth_1</t>
  </si>
  <si>
    <t>Normal Q-table_Depth_1</t>
  </si>
  <si>
    <t>Parent-table_Depth_1</t>
  </si>
  <si>
    <t>Child-table_Depth_1</t>
  </si>
  <si>
    <t>Storage (KB)</t>
  </si>
  <si>
    <t>Parent+Child_Depth_1 = M'</t>
  </si>
  <si>
    <t>Normal Q-table_Depth_3</t>
  </si>
  <si>
    <t>Reconstructed Q-table_Depth_3</t>
  </si>
  <si>
    <t>Parent-table_Depth_3</t>
  </si>
  <si>
    <t>Child-table_Depth_3</t>
  </si>
  <si>
    <t>Parent+Child_Depth_3 = M'</t>
  </si>
  <si>
    <t>Parent+Child_Depth_5 = M'</t>
  </si>
  <si>
    <t>Child-table_Depth_5</t>
  </si>
  <si>
    <t>Parent-table_Depth_5</t>
  </si>
  <si>
    <t>Reconstructed Q-table_Depth_5</t>
  </si>
  <si>
    <t>Normal Q-table_Depth_5</t>
  </si>
  <si>
    <t>Normal Q-table_Depth_7</t>
  </si>
  <si>
    <t>Reconstructed Q-table_Depth_7</t>
  </si>
  <si>
    <t>Parent-table_Depth_7</t>
  </si>
  <si>
    <t>Child-table_Depth_7</t>
  </si>
  <si>
    <t>Parent+Child_Depth_7 = M'</t>
  </si>
  <si>
    <t>Normal Q-table_Depth_10</t>
  </si>
  <si>
    <t>Reconstructed Q-table_Depth_10</t>
  </si>
  <si>
    <t>Parent-table_Depth_10</t>
  </si>
  <si>
    <t>Child-table_Depth_10</t>
  </si>
  <si>
    <t>Parent+Child_Depth_10 = M'</t>
  </si>
  <si>
    <t>Time_Without_Abstraction</t>
  </si>
  <si>
    <t>Time_Without_Abstraction_1</t>
  </si>
  <si>
    <t>Time_Without_Abstraction_3</t>
  </si>
  <si>
    <t>Time_Without_Abstraction_5</t>
  </si>
  <si>
    <t>Time_Without_Abstraction_7</t>
  </si>
  <si>
    <t>Time_Without_Abstraction_10</t>
  </si>
  <si>
    <t>Time (s)</t>
  </si>
  <si>
    <t>Time_Overhead</t>
  </si>
  <si>
    <t>Time_Overhead_1</t>
  </si>
  <si>
    <t>Time_Overhead_3</t>
  </si>
  <si>
    <t>Time_Overhead_5</t>
  </si>
  <si>
    <t>Time_Overhead_7</t>
  </si>
  <si>
    <t>Time_Overhead_10</t>
  </si>
  <si>
    <t>Time_Relative_1</t>
  </si>
  <si>
    <t>Time_Relative_3</t>
  </si>
  <si>
    <t>Time_Relative_5</t>
  </si>
  <si>
    <t>Time_Relative_7</t>
  </si>
  <si>
    <t>Time_Relative_10</t>
  </si>
  <si>
    <t>States (# states)</t>
  </si>
  <si>
    <t>Original_States_1</t>
  </si>
  <si>
    <t>Reconstructed_States_1</t>
  </si>
  <si>
    <t>Parent_States_1</t>
  </si>
  <si>
    <t>Child_States_1</t>
  </si>
  <si>
    <t>Child_Abstraction_Ratio_1</t>
  </si>
  <si>
    <t>Parent_To_Child_Ratio_1</t>
  </si>
  <si>
    <t>Training</t>
  </si>
  <si>
    <t>Single</t>
  </si>
  <si>
    <t>Reconstructed</t>
  </si>
  <si>
    <t>Splitting</t>
  </si>
  <si>
    <t>Total_Time</t>
  </si>
  <si>
    <t>Time_Relative</t>
  </si>
  <si>
    <t>Depth</t>
  </si>
  <si>
    <t>5</t>
  </si>
  <si>
    <t>7</t>
  </si>
  <si>
    <t>10</t>
  </si>
  <si>
    <t>Time (s) Grid 2</t>
  </si>
  <si>
    <t>Parent_To_Child_Ratio_3</t>
  </si>
  <si>
    <t>Child_Abstraction_Ratio_3</t>
  </si>
  <si>
    <t>Child_States_3</t>
  </si>
  <si>
    <t>Parent_States_3</t>
  </si>
  <si>
    <t>Reconstructed_States_3</t>
  </si>
  <si>
    <t>Original_States_3</t>
  </si>
  <si>
    <t>Original_States_5</t>
  </si>
  <si>
    <t>Reconstructed_States_5</t>
  </si>
  <si>
    <t>Parent_States_5</t>
  </si>
  <si>
    <t>Child_States_5</t>
  </si>
  <si>
    <t>Child_Abstraction_Ratio_5</t>
  </si>
  <si>
    <t>Parent_To_Child_Ratio_5</t>
  </si>
  <si>
    <t>Parent_To_Child_Ratio_7</t>
  </si>
  <si>
    <t>Child_Abstraction_Ratio_7</t>
  </si>
  <si>
    <t>Child_States_7</t>
  </si>
  <si>
    <t>Parent_States_7</t>
  </si>
  <si>
    <t>Reconstructed_States_7</t>
  </si>
  <si>
    <t>Original_States_7</t>
  </si>
  <si>
    <t>Original_States_10</t>
  </si>
  <si>
    <t>Reconstructed_States_10</t>
  </si>
  <si>
    <t>Parent_States_10</t>
  </si>
  <si>
    <t>Child_States_10</t>
  </si>
  <si>
    <t>Child_Abstraction_Ratio_10</t>
  </si>
  <si>
    <t>Parent_To_Child_Ratio_10</t>
  </si>
  <si>
    <t>States Abstraction Relative to Depth Grid Size 2</t>
  </si>
  <si>
    <t>Original_States</t>
  </si>
  <si>
    <t>Reconstructed_States</t>
  </si>
  <si>
    <t>Parent_States</t>
  </si>
  <si>
    <t>Child_States</t>
  </si>
  <si>
    <t>Child_Abstraction_Ratio</t>
  </si>
  <si>
    <t>Parent_To_Child_Ratio</t>
  </si>
  <si>
    <t>Normal Q-table</t>
  </si>
  <si>
    <t>Reconstructed Q-table</t>
  </si>
  <si>
    <t>Parent-table</t>
  </si>
  <si>
    <t>Child-table</t>
  </si>
  <si>
    <t>Parent+Child = M'</t>
  </si>
  <si>
    <t>Time (s) Grid 3</t>
  </si>
  <si>
    <t>Time (s) Grid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</si>
</sst>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000"/>
    <numFmt numFmtId="165" formatCode="0.0000000"/>
    <numFmt numFmtId="166" formatCode="0.000000000000"/>
    <numFmt numFmtId="167" formatCode="0.0000000000000"/>
    <numFmt numFmtId="168" formatCode="0.00000000000000"/>
    <numFmt numFmtId="169" formatCode="0.000000000000000"/>
    <numFmt numFmtId="170" formatCode="0.0000000000000000"/>
    <numFmt numFmtId="171" formatCode="0.00000000000000000"/>
    <numFmt numFmtId="172" formatCode="0.000000000000000000"/>
  </numFmts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2" fillId="0" borderId="0" xfId="0" applyNumberFormat="1" applyFont="1"/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2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8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171" fontId="2" fillId="0" borderId="0" xfId="0" applyNumberFormat="1" applyFont="1"/>
    <xf numFmtId="172" fontId="2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Relative Time Duration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Tabelle1!$C$2</c:f>
              <c:strCache>
                <c:ptCount val="1"/>
                <c:pt idx="0">
                  <c:v>training without saving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Tabelle1!$C$3:$C$5</c:f>
              <c:numCache>
                <c:formatCode>0.0000000000000</c:formatCode>
                <c:ptCount val="3"/>
                <c:pt idx="0" formatCode="0.00000000000000">
                  <c:v>8.8077797000074707</c:v>
                </c:pt>
                <c:pt idx="1">
                  <c:v>30.133588899989199</c:v>
                </c:pt>
                <c:pt idx="2" formatCode="0.000000">
                  <c:v>136.23701199999999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28-4F3C-B315-6B68A4EF1C4C}"/>
            </c:ext>
          </c:extLst>
        </c:ser>
        <c:ser>
          <c:idx val="1"/>
          <c:order val="1"/>
          <c:tx>
            <c:strRef>
              <c:f>Tabelle1!$D$2</c:f>
              <c:strCache>
                <c:ptCount val="1"/>
                <c:pt idx="0">
                  <c:v>normal_q_table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Tabelle1!$D$3:$D$5</c:f>
              <c:numCache>
                <c:formatCode>0.000000000000000</c:formatCode>
                <c:ptCount val="3"/>
                <c:pt idx="0" formatCode="0.00000000000000000">
                  <c:v>1.68489999487064E-3</c:v>
                </c:pt>
                <c:pt idx="1">
                  <c:v>0.88624789999448605</c:v>
                </c:pt>
                <c:pt idx="2" formatCode="0.0000000">
                  <c:v>6.9733061000000003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28-4F3C-B315-6B68A4EF1C4C}"/>
            </c:ext>
          </c:extLst>
        </c:ser>
        <c:ser>
          <c:idx val="2"/>
          <c:order val="2"/>
          <c:tx>
            <c:strRef>
              <c:f>Tabelle1!$E$2</c:f>
              <c:strCache>
                <c:ptCount val="1"/>
                <c:pt idx="0">
                  <c:v>split_parent_child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Tabelle1!$E$3:$E$5</c:f>
              <c:numCache>
                <c:formatCode>0.000000000000</c:formatCode>
                <c:ptCount val="3"/>
                <c:pt idx="0" formatCode="0.000000000000000">
                  <c:v>0.27619350000168102</c:v>
                </c:pt>
                <c:pt idx="1">
                  <c:v>222.725339099997</c:v>
                </c:pt>
                <c:pt idx="2" formatCode="0.0000000">
                  <c:v>4734.7241799000003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28-4F3C-B315-6B68A4EF1C4C}"/>
            </c:ext>
          </c:extLst>
        </c:ser>
        <c:ser>
          <c:idx val="3"/>
          <c:order val="3"/>
          <c:tx>
            <c:strRef>
              <c:f>Tabelle1!$F$2</c:f>
              <c:strCache>
                <c:ptCount val="1"/>
                <c:pt idx="0">
                  <c:v>reconstruct_q_table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Tabelle1!$F$3:$F$5</c:f>
              <c:numCache>
                <c:formatCode>0.0000000000000</c:formatCode>
                <c:ptCount val="3"/>
                <c:pt idx="0" formatCode="0.0000000000000000">
                  <c:v>2.6017899988801201E-2</c:v>
                </c:pt>
                <c:pt idx="1">
                  <c:v>24.912094699990099</c:v>
                </c:pt>
                <c:pt idx="2" formatCode="0.0000000">
                  <c:v>30.389463299999999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28-4F3C-B315-6B68A4EF1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1742976"/>
        <c:axId val="1301752096"/>
      </c:barChart>
      <c:catAx>
        <c:axId val="1301742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</a:t>
                </a:r>
                <a:r>
                  <a:rPr lang="de-AT" baseline="0"/>
                  <a:t>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752096"/>
        <c:crosses val="autoZero"/>
        <c:auto val="1"/>
        <c:lblAlgn val="ctr"/>
        <c:lblOffset val="100"/>
        <c:noMultiLvlLbl val="0"/>
      </c:catAx>
      <c:valAx>
        <c:axId val="130175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74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Tabelle1!$E$2</c:f>
              <c:strCache>
                <c:ptCount val="1"/>
                <c:pt idx="0">
                  <c:v>split_parent_child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Tabelle1!$E$3:$E$5</c:f>
              <c:numCache>
                <c:formatCode>0.000000000000</c:formatCode>
                <c:ptCount val="3"/>
                <c:pt idx="0" formatCode="0.000000000000000">
                  <c:v>0.27619350000168102</c:v>
                </c:pt>
                <c:pt idx="1">
                  <c:v>222.725339099997</c:v>
                </c:pt>
                <c:pt idx="2" formatCode="0.0000000">
                  <c:v>4734.7241799000003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D-4DBC-B807-341C4B4B2DE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93056"/>
        <c:axId val="1301690176"/>
      </c:barChart>
      <c:catAx>
        <c:axId val="1301693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90176"/>
        <c:crosses val="autoZero"/>
        <c:auto val="1"/>
        <c:lblAlgn val="ctr"/>
        <c:lblOffset val="100"/>
        <c:noMultiLvlLbl val="0"/>
      </c:catAx>
      <c:valAx>
        <c:axId val="130169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9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Tabelle1!$F$2</c:f>
              <c:strCache>
                <c:ptCount val="1"/>
                <c:pt idx="0">
                  <c:v>reconstruct_q_table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Tabelle1!$F$3:$F$5</c:f>
              <c:numCache>
                <c:formatCode>0.0000000000000</c:formatCode>
                <c:ptCount val="3"/>
                <c:pt idx="0" formatCode="0.0000000000000000">
                  <c:v>2.6017899988801201E-2</c:v>
                </c:pt>
                <c:pt idx="1">
                  <c:v>24.912094699990099</c:v>
                </c:pt>
                <c:pt idx="2" formatCode="0.0000000">
                  <c:v>30.389463299999999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2E-4B6B-9197-EF4EA9F282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79616"/>
        <c:axId val="1301687776"/>
      </c:barChart>
      <c:catAx>
        <c:axId val="1301679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</a:t>
                </a:r>
                <a:r>
                  <a:rPr lang="de-AT" baseline="0"/>
                  <a:t>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87776"/>
        <c:crosses val="autoZero"/>
        <c:auto val="1"/>
        <c:lblAlgn val="ctr"/>
        <c:lblOffset val="100"/>
        <c:noMultiLvlLbl val="0"/>
      </c:catAx>
      <c:valAx>
        <c:axId val="130168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</a:t>
                </a:r>
                <a:r>
                  <a:rPr lang="de-AT" baseline="0"/>
                  <a:t> Seconds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AT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7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Total Time For each Grid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Tabelle1!$G$2</c:f>
              <c:strCache>
                <c:ptCount val="1"/>
                <c:pt idx="0">
                  <c:v>Total Time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Tabelle1!$G$3:$G$5</c:f>
              <c:numCache>
                <c:formatCode>0.000000000000</c:formatCode>
                <c:ptCount val="3"/>
                <c:pt idx="0" formatCode="0.00000000000000">
                  <c:v>9.1116759999928227</c:v>
                </c:pt>
                <c:pt idx="1">
                  <c:v>278.65727059997079</c:v>
                </c:pt>
                <c:pt idx="2" formatCode="0.0000000">
                  <c:v>4908.3239613000005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0D-4EFB-AB01-2DA8AA4296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89216"/>
        <c:axId val="1301677216"/>
      </c:barChart>
      <c:catAx>
        <c:axId val="130168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77216"/>
        <c:crosses val="autoZero"/>
        <c:auto val="1"/>
        <c:lblAlgn val="ctr"/>
        <c:lblOffset val="100"/>
        <c:noMultiLvlLbl val="0"/>
      </c:catAx>
      <c:valAx>
        <c:axId val="130167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8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Time_Relative_To_Depth_Grid_Size_2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Tabelle1!$D$99</c:f>
              <c:strCache>
                <c:ptCount val="1"/>
                <c:pt idx="0">
                  <c:v>Training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Tabelle1!$D$100:$D$104</c:f>
              <c:numCache>
                <c:formatCode>0.00000000000000000</c:formatCode>
                <c:ptCount val="5"/>
                <c:pt idx="0">
                  <c:v>112.449591199983</c:v>
                </c:pt>
                <c:pt idx="1">
                  <c:v>106.722055099991</c:v>
                </c:pt>
                <c:pt idx="2" formatCode="0.000000000000000000">
                  <c:v>98.522515999997196</c:v>
                </c:pt>
                <c:pt idx="3" formatCode="0.000000000000">
                  <c:v>99.896192599990101</c:v>
                </c:pt>
                <c:pt idx="4" formatCode="0.000000000000">
                  <c:v>101.23285389999999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18-483B-B91C-7AD93489FDE0}"/>
            </c:ext>
          </c:extLst>
        </c:ser>
        <c:ser>
          <c:idx val="1"/>
          <c:order val="1"/>
          <c:tx>
            <c:strRef>
              <c:f>Tabelle1!$E$99</c:f>
              <c:strCache>
                <c:ptCount val="1"/>
                <c:pt idx="0">
                  <c:v>Single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Tabelle1!$E$100:$E$104</c:f>
              <c:numCache>
                <c:formatCode>0.00000000000000000</c:formatCode>
                <c:ptCount val="5"/>
                <c:pt idx="0">
                  <c:v>1.42899999627843E-3</c:v>
                </c:pt>
                <c:pt idx="1">
                  <c:v>1.88490000437013E-3</c:v>
                </c:pt>
                <c:pt idx="2" formatCode="0.000000000000000000">
                  <c:v>1.9183999975211901E-3</c:v>
                </c:pt>
                <c:pt idx="3" formatCode="0.000000000000">
                  <c:v>1.7024999833665699E-3</c:v>
                </c:pt>
                <c:pt idx="4" formatCode="0.000000000000">
                  <c:v>1.64870001026429E-3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18-483B-B91C-7AD93489FDE0}"/>
            </c:ext>
          </c:extLst>
        </c:ser>
        <c:ser>
          <c:idx val="2"/>
          <c:order val="2"/>
          <c:tx>
            <c:strRef>
              <c:f>Tabelle1!$F$99</c:f>
              <c:strCache>
                <c:ptCount val="1"/>
                <c:pt idx="0">
                  <c:v>Reconstructed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Tabelle1!$F$100:$F$104</c:f>
              <c:numCache>
                <c:formatCode>0.00000000000000000</c:formatCode>
                <c:ptCount val="5"/>
                <c:pt idx="0">
                  <c:v>1.40904999861959E-2</c:v>
                </c:pt>
                <c:pt idx="1">
                  <c:v>3.1458100012969198E-2</c:v>
                </c:pt>
                <c:pt idx="2" formatCode="0.000000000000000000">
                  <c:v>4.4192100001964697E-2</c:v>
                </c:pt>
                <c:pt idx="3" formatCode="0.000000000000">
                  <c:v>4.4192100001964697E-2</c:v>
                </c:pt>
                <c:pt idx="4" formatCode="0.000000000000">
                  <c:v>4.1228400019463103E-2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18-483B-B91C-7AD93489FDE0}"/>
            </c:ext>
          </c:extLst>
        </c:ser>
        <c:ser>
          <c:idx val="3"/>
          <c:order val="3"/>
          <c:tx>
            <c:strRef>
              <c:f>Tabelle1!$G$99</c:f>
              <c:strCache>
                <c:ptCount val="1"/>
                <c:pt idx="0">
                  <c:v>Splitting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Tabelle1!$G$100:$G$104</c:f>
              <c:numCache>
                <c:formatCode>0.00000000000000000</c:formatCode>
                <c:ptCount val="5"/>
                <c:pt idx="0">
                  <c:v>0.12420980000751999</c:v>
                </c:pt>
                <c:pt idx="1">
                  <c:v>0.27219430002151002</c:v>
                </c:pt>
                <c:pt idx="2" formatCode="0.000000000000000000">
                  <c:v>0.28554489999078198</c:v>
                </c:pt>
                <c:pt idx="3" formatCode="0.000000000000">
                  <c:v>0.36928970000008099</c:v>
                </c:pt>
                <c:pt idx="4" formatCode="0.000000000000">
                  <c:v>0.50416630000108797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18-483B-B91C-7AD93489F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845344"/>
        <c:axId val="87838624"/>
      </c:barChart>
      <c:catAx>
        <c:axId val="8784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Max</a:t>
                </a:r>
                <a:r>
                  <a:rPr lang="de-DE" baseline="0"/>
                  <a:t> </a:t>
                </a: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38624"/>
        <c:crosses val="autoZero"/>
        <c:auto val="1"/>
        <c:lblAlgn val="ctr"/>
        <c:lblOffset val="100"/>
        <c:noMultiLvlLbl val="0"/>
      </c:catAx>
      <c:valAx>
        <c:axId val="8783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Procentage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4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Parent_Child_Abstraction</a:t>
            </a:r>
            <a:r>
              <a:rPr lang="de-DE" baseline="0"/>
              <a:t>_By_PreCalculator_Depth_Grid_2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Tabelle1!$D$204</c:f>
              <c:strCache>
                <c:ptCount val="1"/>
                <c:pt idx="0">
                  <c:v>Original_States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Tabelle1!$C$205:$C$209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Tabelle1!$D$205:$D$209</c:f>
              <c:numCache>
                <c:formatCode>0.00</c:formatCode>
                <c:ptCount val="5"/>
                <c:pt idx="0">
                  <c:v>560</c:v>
                </c:pt>
                <c:pt idx="1">
                  <c:v>564</c:v>
                </c:pt>
                <c:pt idx="2">
                  <c:v>571</c:v>
                </c:pt>
                <c:pt idx="3">
                  <c:v>586</c:v>
                </c:pt>
                <c:pt idx="4">
                  <c:v>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09-4D33-98E1-CBC91A5A838E}"/>
            </c:ext>
          </c:extLst>
        </c:ser>
        <c:ser>
          <c:idx val="1"/>
          <c:order val="1"/>
          <c:tx>
            <c:strRef>
              <c:f>Tabelle1!$E$204</c:f>
              <c:strCache>
                <c:ptCount val="1"/>
                <c:pt idx="0">
                  <c:v>Reconstructed_States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Tabelle1!$C$205:$C$209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Tabelle1!$E$205:$E$209</c:f>
              <c:numCache>
                <c:formatCode>0.00</c:formatCode>
                <c:ptCount val="5"/>
                <c:pt idx="0">
                  <c:v>560</c:v>
                </c:pt>
                <c:pt idx="1">
                  <c:v>564</c:v>
                </c:pt>
                <c:pt idx="2">
                  <c:v>571</c:v>
                </c:pt>
                <c:pt idx="3">
                  <c:v>586</c:v>
                </c:pt>
                <c:pt idx="4">
                  <c:v>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09-4D33-98E1-CBC91A5A838E}"/>
            </c:ext>
          </c:extLst>
        </c:ser>
        <c:ser>
          <c:idx val="2"/>
          <c:order val="2"/>
          <c:tx>
            <c:strRef>
              <c:f>Tabelle1!$F$204</c:f>
              <c:strCache>
                <c:ptCount val="1"/>
                <c:pt idx="0">
                  <c:v>Parent_States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Tabelle1!$C$205:$C$209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Tabelle1!$F$205:$F$209</c:f>
              <c:numCache>
                <c:formatCode>0.00</c:formatCode>
                <c:ptCount val="5"/>
                <c:pt idx="0">
                  <c:v>560</c:v>
                </c:pt>
                <c:pt idx="1">
                  <c:v>482</c:v>
                </c:pt>
                <c:pt idx="2">
                  <c:v>400</c:v>
                </c:pt>
                <c:pt idx="3">
                  <c:v>379</c:v>
                </c:pt>
                <c:pt idx="4">
                  <c:v>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09-4D33-98E1-CBC91A5A838E}"/>
            </c:ext>
          </c:extLst>
        </c:ser>
        <c:ser>
          <c:idx val="3"/>
          <c:order val="3"/>
          <c:tx>
            <c:strRef>
              <c:f>Tabelle1!$G$204</c:f>
              <c:strCache>
                <c:ptCount val="1"/>
                <c:pt idx="0">
                  <c:v>Child_States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Tabelle1!$C$205:$C$209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Tabelle1!$G$205:$G$209</c:f>
              <c:numCache>
                <c:formatCode>0.00</c:formatCode>
                <c:ptCount val="5"/>
                <c:pt idx="0">
                  <c:v>0</c:v>
                </c:pt>
                <c:pt idx="1">
                  <c:v>82</c:v>
                </c:pt>
                <c:pt idx="2">
                  <c:v>171</c:v>
                </c:pt>
                <c:pt idx="3">
                  <c:v>207</c:v>
                </c:pt>
                <c:pt idx="4">
                  <c:v>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09-4D33-98E1-CBC91A5A8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023759"/>
        <c:axId val="941019919"/>
      </c:lineChart>
      <c:catAx>
        <c:axId val="9410237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19919"/>
        <c:crosses val="autoZero"/>
        <c:auto val="1"/>
        <c:lblAlgn val="ctr"/>
        <c:lblOffset val="100"/>
        <c:noMultiLvlLbl val="0"/>
      </c:catAx>
      <c:valAx>
        <c:axId val="94101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# States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2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Child_Abstraction_Ratio_Grid_2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Tabelle1!$H$204</c:f>
              <c:strCache>
                <c:ptCount val="1"/>
                <c:pt idx="0">
                  <c:v>Child_Abstraction_Ratio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Tabelle1!$C$205:$C$209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Tabelle1!$H$205:$H$209</c:f>
              <c:numCache>
                <c:formatCode>0.00</c:formatCode>
                <c:ptCount val="5"/>
                <c:pt idx="0">
                  <c:v>0</c:v>
                </c:pt>
                <c:pt idx="1">
                  <c:v>0.1453900709219858</c:v>
                </c:pt>
                <c:pt idx="2">
                  <c:v>0.29947460595446584</c:v>
                </c:pt>
                <c:pt idx="3">
                  <c:v>0.35324232081911261</c:v>
                </c:pt>
                <c:pt idx="4">
                  <c:v>0.36983842010771995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D6-4FA2-BABA-74477C706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137039"/>
        <c:axId val="941135599"/>
      </c:lineChart>
      <c:catAx>
        <c:axId val="941137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135599"/>
        <c:crosses val="autoZero"/>
        <c:auto val="1"/>
        <c:lblAlgn val="ctr"/>
        <c:lblOffset val="100"/>
        <c:noMultiLvlLbl val="0"/>
      </c:catAx>
      <c:valAx>
        <c:axId val="94113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13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Parent_To_Child_Ratio_Grid_2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Tabelle1!$I$204</c:f>
              <c:strCache>
                <c:ptCount val="1"/>
                <c:pt idx="0">
                  <c:v>Parent_To_Child_Ratio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Tabelle1!$C$205:$C$209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Tabelle1!$I$205:$I$209</c:f>
              <c:numCache>
                <c:formatCode>0.00</c:formatCode>
                <c:ptCount val="5"/>
                <c:pt idx="0">
                  <c:v>0</c:v>
                </c:pt>
                <c:pt idx="1">
                  <c:v>0.17012448132780084</c:v>
                </c:pt>
                <c:pt idx="2">
                  <c:v>0.42749999999999999</c:v>
                </c:pt>
                <c:pt idx="3">
                  <c:v>0.54617414248021112</c:v>
                </c:pt>
                <c:pt idx="4">
                  <c:v>0.58689458689458684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2D-4959-BEFA-06EE3BD6C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020399"/>
        <c:axId val="941030959"/>
      </c:lineChart>
      <c:catAx>
        <c:axId val="941020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30959"/>
        <c:crosses val="autoZero"/>
        <c:auto val="1"/>
        <c:lblAlgn val="ctr"/>
        <c:lblOffset val="100"/>
        <c:noMultiLvlLbl val="0"/>
      </c:catAx>
      <c:valAx>
        <c:axId val="94103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20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Storage_Usage_Of_Tables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Tabelle1!$D$164</c:f>
              <c:strCache>
                <c:ptCount val="1"/>
                <c:pt idx="0">
                  <c:v>Normal Q-table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Tabelle1!$C$165:$C$169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Tabelle1!$D$165:$D$169</c:f>
              <c:numCache>
                <c:formatCode>0.00</c:formatCode>
                <c:ptCount val="5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F7-471E-BC69-EBA1602A9631}"/>
            </c:ext>
          </c:extLst>
        </c:ser>
        <c:ser>
          <c:idx val="1"/>
          <c:order val="1"/>
          <c:tx>
            <c:strRef>
              <c:f>Tabelle1!$E$164</c:f>
              <c:strCache>
                <c:ptCount val="1"/>
                <c:pt idx="0">
                  <c:v>Reconstructed Q-table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Tabelle1!$C$165:$C$169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Tabelle1!$E$165:$E$169</c:f>
              <c:numCache>
                <c:formatCode>0.00</c:formatCode>
                <c:ptCount val="5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7-471E-BC69-EBA1602A9631}"/>
            </c:ext>
          </c:extLst>
        </c:ser>
        <c:ser>
          <c:idx val="2"/>
          <c:order val="2"/>
          <c:tx>
            <c:strRef>
              <c:f>Tabelle1!$F$164</c:f>
              <c:strCache>
                <c:ptCount val="1"/>
                <c:pt idx="0">
                  <c:v>Parent-table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Tabelle1!$C$165:$C$169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Tabelle1!$F$165:$F$169</c:f>
              <c:numCache>
                <c:formatCode>0.00</c:formatCode>
                <c:ptCount val="5"/>
                <c:pt idx="0">
                  <c:v>28</c:v>
                </c:pt>
                <c:pt idx="1">
                  <c:v>24</c:v>
                </c:pt>
                <c:pt idx="2">
                  <c:v>21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7-471E-BC69-EBA1602A9631}"/>
            </c:ext>
          </c:extLst>
        </c:ser>
        <c:ser>
          <c:idx val="3"/>
          <c:order val="3"/>
          <c:tx>
            <c:strRef>
              <c:f>Tabelle1!$G$164</c:f>
              <c:strCache>
                <c:ptCount val="1"/>
                <c:pt idx="0">
                  <c:v>Child-table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numRef>
              <c:f>Tabelle1!$C$165:$C$169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Tabelle1!$G$165:$G$169</c:f>
              <c:numCache>
                <c:formatCode>0.00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7-471E-BC69-EBA1602A9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41060239"/>
        <c:axId val="941061199"/>
        <c:axId val="0"/>
      </c:bar3DChart>
      <c:catAx>
        <c:axId val="9410602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61199"/>
        <c:crosses val="autoZero"/>
        <c:auto val="1"/>
        <c:lblAlgn val="ctr"/>
        <c:lblOffset val="100"/>
        <c:noMultiLvlLbl val="0"/>
      </c:catAx>
      <c:valAx>
        <c:axId val="94106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Storage Space in KB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Time-Relative_To-Depth_Grid_Size_3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Tabelle1!$D$107</c:f>
              <c:strCache>
                <c:ptCount val="1"/>
                <c:pt idx="0">
                  <c:v>Training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Tabelle1!$D$108:$D$112</c:f>
              <c:numCache>
                <c:formatCode>0.00000000000000000</c:formatCode>
                <c:ptCount val="5"/>
                <c:pt idx="0">
                  <c:v>432.46177490000201</c:v>
                </c:pt>
                <c:pt idx="1">
                  <c:v>435.46399859999599</c:v>
                </c:pt>
                <c:pt idx="2" formatCode="0.000000000000000000">
                  <c:v>439.664883499994</c:v>
                </c:pt>
                <c:pt idx="3" formatCode="0.000000000000">
                  <c:v>358.81276109997998</c:v>
                </c:pt>
                <c:pt idx="4" formatCode="0.000000000000">
                  <c:v>355.08468520000997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C6-43A1-9C7F-E6FDE4930B9A}"/>
            </c:ext>
          </c:extLst>
        </c:ser>
        <c:ser>
          <c:idx val="1"/>
          <c:order val="1"/>
          <c:tx>
            <c:strRef>
              <c:f>Tabelle1!$E$107</c:f>
              <c:strCache>
                <c:ptCount val="1"/>
                <c:pt idx="0">
                  <c:v>Single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Tabelle1!$E$108:$E$112</c:f>
              <c:numCache>
                <c:formatCode>0.00000000000000000</c:formatCode>
                <c:ptCount val="5"/>
                <c:pt idx="0">
                  <c:v>2.6744585999986099</c:v>
                </c:pt>
                <c:pt idx="1">
                  <c:v>2.8348992000101099</c:v>
                </c:pt>
                <c:pt idx="2" formatCode="0.000000000000000000">
                  <c:v>2.8796669000002999</c:v>
                </c:pt>
                <c:pt idx="3" formatCode="0.000000000000">
                  <c:v>2.4278150000027301</c:v>
                </c:pt>
                <c:pt idx="4" formatCode="0.000000000000">
                  <c:v>2.3933787000132698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C6-43A1-9C7F-E6FDE4930B9A}"/>
            </c:ext>
          </c:extLst>
        </c:ser>
        <c:ser>
          <c:idx val="2"/>
          <c:order val="2"/>
          <c:tx>
            <c:strRef>
              <c:f>Tabelle1!$F$107</c:f>
              <c:strCache>
                <c:ptCount val="1"/>
                <c:pt idx="0">
                  <c:v>Reconstructed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Tabelle1!$F$108:$F$112</c:f>
              <c:numCache>
                <c:formatCode>0.00000000000000000</c:formatCode>
                <c:ptCount val="5"/>
                <c:pt idx="0">
                  <c:v>58.425300999981097</c:v>
                </c:pt>
                <c:pt idx="1">
                  <c:v>81.507741900015304</c:v>
                </c:pt>
                <c:pt idx="2" formatCode="0.000000000000000000">
                  <c:v>75.220504099997896</c:v>
                </c:pt>
                <c:pt idx="3" formatCode="0.000000000000">
                  <c:v>99.754166800004896</c:v>
                </c:pt>
                <c:pt idx="4" formatCode="0.000000000000">
                  <c:v>71.329274199990294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C6-43A1-9C7F-E6FDE4930B9A}"/>
            </c:ext>
          </c:extLst>
        </c:ser>
        <c:ser>
          <c:idx val="3"/>
          <c:order val="3"/>
          <c:tx>
            <c:strRef>
              <c:f>Tabelle1!$G$107</c:f>
              <c:strCache>
                <c:ptCount val="1"/>
                <c:pt idx="0">
                  <c:v>Splitting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Tabelle1!$G$108:$G$112</c:f>
              <c:numCache>
                <c:formatCode>0.00000000000000000</c:formatCode>
                <c:ptCount val="5"/>
                <c:pt idx="0">
                  <c:v>199.934930000017</c:v>
                </c:pt>
                <c:pt idx="1">
                  <c:v>347.67646899999801</c:v>
                </c:pt>
                <c:pt idx="2" formatCode="0.000000000000000000">
                  <c:v>524.30570260001696</c:v>
                </c:pt>
                <c:pt idx="3" formatCode="0.000000000000">
                  <c:v>730.59805099997902</c:v>
                </c:pt>
                <c:pt idx="4" formatCode="0.000000000000">
                  <c:v>1060.12395100001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0C6-43A1-9C7F-E6FDE4930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49278911"/>
        <c:axId val="1449279871"/>
      </c:barChart>
      <c:catAx>
        <c:axId val="144927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Max</a:t>
                </a:r>
                <a:r>
                  <a:rPr lang="de-DE" baseline="0"/>
                  <a:t> Depth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49279871"/>
        <c:crosses val="autoZero"/>
        <c:auto val="1"/>
        <c:lblAlgn val="ctr"/>
        <c:lblOffset val="100"/>
        <c:noMultiLvlLbl val="0"/>
      </c:catAx>
      <c:valAx>
        <c:axId val="1449279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4927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6</xdr:row>
      <xdr:rowOff>0</xdr:rowOff>
    </xdr:from>
    <xdr:to>
      <xdr:col>5</xdr:col>
      <xdr:colOff>1657350</xdr:colOff>
      <xdr:row>26</xdr:row>
      <xdr:rowOff>28575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910527E-1A3B-C1A4-7FAF-C481B86E01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1976437</xdr:colOff>
      <xdr:row>6</xdr:row>
      <xdr:rowOff>71436</xdr:rowOff>
    </xdr:from>
    <xdr:to>
      <xdr:col>12</xdr:col>
      <xdr:colOff>28575</xdr:colOff>
      <xdr:row>23</xdr:row>
      <xdr:rowOff>95249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1C20A995-9D51-0071-4BE8-5AB28E830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9525</xdr:colOff>
      <xdr:row>24</xdr:row>
      <xdr:rowOff>80961</xdr:rowOff>
    </xdr:from>
    <xdr:to>
      <xdr:col>12</xdr:col>
      <xdr:colOff>9525</xdr:colOff>
      <xdr:row>41</xdr:row>
      <xdr:rowOff>47624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9E6E65BF-D9AD-8951-2DA0-B78BA2202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76200</xdr:colOff>
      <xdr:row>26</xdr:row>
      <xdr:rowOff>176212</xdr:rowOff>
    </xdr:from>
    <xdr:to>
      <xdr:col>5</xdr:col>
      <xdr:colOff>1666875</xdr:colOff>
      <xdr:row>49</xdr:row>
      <xdr:rowOff>171450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038E0867-EE84-30CD-0CAD-FB966C4BBA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379522</xdr:colOff>
      <xdr:row>97</xdr:row>
      <xdr:rowOff>68225</xdr:rowOff>
    </xdr:from>
    <xdr:to>
      <xdr:col>17</xdr:col>
      <xdr:colOff>280581</xdr:colOff>
      <xdr:row>120</xdr:row>
      <xdr:rowOff>147675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6AFC4DB-6A7E-2EFF-0DDB-4EB2FAC81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312795</xdr:colOff>
      <xdr:row>203</xdr:row>
      <xdr:rowOff>43431</xdr:rowOff>
    </xdr:from>
    <xdr:to>
      <xdr:col>11</xdr:col>
      <xdr:colOff>1881480</xdr:colOff>
      <xdr:row>223</xdr:row>
      <xdr:rowOff>23518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25F46351-A5C0-4051-8C1A-456583DEF1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2131562</xdr:colOff>
      <xdr:row>203</xdr:row>
      <xdr:rowOff>59111</xdr:rowOff>
    </xdr:from>
    <xdr:to>
      <xdr:col>17</xdr:col>
      <xdr:colOff>314364</xdr:colOff>
      <xdr:row>218</xdr:row>
      <xdr:rowOff>97681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030A4A9-0A4E-6327-4BAE-C33959223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2170981</xdr:colOff>
      <xdr:row>219</xdr:row>
      <xdr:rowOff>120052</xdr:rowOff>
    </xdr:from>
    <xdr:to>
      <xdr:col>17</xdr:col>
      <xdr:colOff>333075</xdr:colOff>
      <xdr:row>234</xdr:row>
      <xdr:rowOff>167497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97A470B1-E9A5-2FDB-B4DA-7EA1DEAB6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238882</xdr:colOff>
      <xdr:row>163</xdr:row>
      <xdr:rowOff>19352</xdr:rowOff>
    </xdr:from>
    <xdr:to>
      <xdr:col>11</xdr:col>
      <xdr:colOff>688421</xdr:colOff>
      <xdr:row>178</xdr:row>
      <xdr:rowOff>41124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11D5217B-E1E7-C7FF-653D-C2BFBE61AB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377956</xdr:colOff>
      <xdr:row>122</xdr:row>
      <xdr:rowOff>85229</xdr:rowOff>
    </xdr:from>
    <xdr:to>
      <xdr:col>17</xdr:col>
      <xdr:colOff>286398</xdr:colOff>
      <xdr:row>144</xdr:row>
      <xdr:rowOff>68689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6269B85C-08B9-5E5E-25DB-75477270F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2CF9C-842D-4575-AB2D-33AA7D99E5F5}">
  <dimension ref="B2:M209"/>
  <sheetViews>
    <sheetView tabSelected="1" topLeftCell="G104" zoomScale="66" zoomScaleNormal="92" workbookViewId="0">
      <selection activeCell="I121" sqref="I121"/>
    </sheetView>
  </sheetViews>
  <sheetFormatPr baseColWidth="10" defaultColWidth="11.453125" defaultRowHeight="14.5" x14ac:dyDescent="0.35"/>
  <cols>
    <col min="1" max="1" width="11.453125" style="1"/>
    <col min="2" max="2" width="24.90625" style="1" customWidth="1"/>
    <col min="3" max="3" width="39.81640625" style="1" customWidth="1"/>
    <col min="4" max="4" width="27.7265625" style="1" customWidth="1"/>
    <col min="5" max="5" width="36.54296875" style="1" customWidth="1"/>
    <col min="6" max="6" width="30.26953125" style="1" customWidth="1"/>
    <col min="7" max="7" width="25.7265625" style="1" customWidth="1"/>
    <col min="8" max="8" width="26.26953125" style="1" customWidth="1"/>
    <col min="9" max="9" width="26.81640625" style="1" customWidth="1"/>
    <col min="10" max="10" width="31.81640625" style="1" customWidth="1"/>
    <col min="11" max="11" width="27.1796875" style="1" customWidth="1"/>
    <col min="12" max="12" width="34.26953125" style="1" customWidth="1"/>
    <col min="13" max="16384" width="11.453125" style="1"/>
  </cols>
  <sheetData>
    <row r="2" spans="2:13" x14ac:dyDescent="0.3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4" t="s">
        <v>5</v>
      </c>
      <c r="J2" s="1" t="s">
        <v>6</v>
      </c>
      <c r="K2" s="1" t="s">
        <v>10</v>
      </c>
      <c r="L2" s="1" t="s">
        <v>11</v>
      </c>
    </row>
    <row r="3" spans="2:13" x14ac:dyDescent="0.35">
      <c r="B3" s="1">
        <v>2</v>
      </c>
      <c r="C3" s="8">
        <v>8.8077797000074707</v>
      </c>
      <c r="D3" s="11">
        <v>1.68489999487064E-3</v>
      </c>
      <c r="E3" s="9">
        <v>0.27619350000168102</v>
      </c>
      <c r="F3" s="10">
        <v>2.6017899988801201E-2</v>
      </c>
      <c r="G3" s="8">
        <f>SUM(C3:F3)</f>
        <v>9.1116759999928227</v>
      </c>
      <c r="J3" s="4" t="s">
        <v>7</v>
      </c>
      <c r="K3" s="4" t="s">
        <v>12</v>
      </c>
      <c r="L3" s="4" t="s">
        <v>13</v>
      </c>
      <c r="M3" s="4">
        <f>K3+L3</f>
        <v>1000</v>
      </c>
    </row>
    <row r="4" spans="2:13" x14ac:dyDescent="0.35">
      <c r="B4" s="1">
        <v>3</v>
      </c>
      <c r="C4" s="7">
        <v>30.133588899989199</v>
      </c>
      <c r="D4" s="9">
        <v>0.88624789999448605</v>
      </c>
      <c r="E4" s="6">
        <v>222.725339099997</v>
      </c>
      <c r="F4" s="7">
        <v>24.912094699990099</v>
      </c>
      <c r="G4" s="6">
        <f>SUM(C4:F4)</f>
        <v>278.65727059997079</v>
      </c>
      <c r="J4" s="4" t="s">
        <v>8</v>
      </c>
      <c r="K4" s="4">
        <v>499</v>
      </c>
      <c r="L4" s="4">
        <v>501</v>
      </c>
      <c r="M4" s="4">
        <f t="shared" ref="M4:M5" si="0">K4+L4</f>
        <v>1000</v>
      </c>
    </row>
    <row r="5" spans="2:13" x14ac:dyDescent="0.35">
      <c r="B5" s="1">
        <v>4</v>
      </c>
      <c r="C5" s="2">
        <v>136.23701199999999</v>
      </c>
      <c r="D5" s="5">
        <v>6.9733061000000003</v>
      </c>
      <c r="E5" s="3">
        <v>4734.7241799000003</v>
      </c>
      <c r="F5" s="3">
        <v>30.389463299999999</v>
      </c>
      <c r="G5" s="5">
        <f>SUM(C5:F5)</f>
        <v>4908.3239613000005</v>
      </c>
      <c r="J5" s="4" t="s">
        <v>9</v>
      </c>
      <c r="K5" s="4">
        <v>512</v>
      </c>
      <c r="L5" s="4">
        <v>488</v>
      </c>
      <c r="M5" s="4">
        <f t="shared" si="0"/>
        <v>1000</v>
      </c>
    </row>
    <row r="55" spans="2:8" x14ac:dyDescent="0.35">
      <c r="B55" s="1" t="s">
        <v>14</v>
      </c>
    </row>
    <row r="56" spans="2:8" x14ac:dyDescent="0.35">
      <c r="B56" s="1" t="s">
        <v>15</v>
      </c>
      <c r="C56" s="1" t="s">
        <v>16</v>
      </c>
      <c r="D56" s="1" t="s">
        <v>20</v>
      </c>
      <c r="E56" s="1" t="s">
        <v>24</v>
      </c>
      <c r="F56" s="1" t="s">
        <v>28</v>
      </c>
      <c r="G56" s="1" t="s">
        <v>31</v>
      </c>
      <c r="H56" s="1" t="s">
        <v>14</v>
      </c>
    </row>
    <row r="57" spans="2:8" x14ac:dyDescent="0.35">
      <c r="B57" s="1" t="s">
        <v>7</v>
      </c>
      <c r="C57" s="4" t="s">
        <v>17</v>
      </c>
      <c r="D57" s="1" t="s">
        <v>21</v>
      </c>
      <c r="E57" s="1" t="s">
        <v>25</v>
      </c>
      <c r="F57" s="4" t="s">
        <v>17</v>
      </c>
      <c r="G57" s="4">
        <f>D57+E57</f>
        <v>23</v>
      </c>
      <c r="H57" s="4">
        <f>1-G57/C57</f>
        <v>0.11538461538461542</v>
      </c>
    </row>
    <row r="58" spans="2:8" x14ac:dyDescent="0.35">
      <c r="B58" s="1" t="s">
        <v>8</v>
      </c>
      <c r="C58" s="4" t="s">
        <v>19</v>
      </c>
      <c r="D58" s="1" t="s">
        <v>22</v>
      </c>
      <c r="E58" s="1" t="s">
        <v>26</v>
      </c>
      <c r="F58" s="4" t="s">
        <v>29</v>
      </c>
      <c r="G58" s="4">
        <f t="shared" ref="G58:G59" si="1">D58+E58</f>
        <v>11518</v>
      </c>
      <c r="H58" s="4">
        <f t="shared" ref="H58:H59" si="2">1-G58/C58</f>
        <v>0.4071138106758635</v>
      </c>
    </row>
    <row r="59" spans="2:8" x14ac:dyDescent="0.35">
      <c r="B59" s="1" t="s">
        <v>9</v>
      </c>
      <c r="C59" s="4" t="s">
        <v>18</v>
      </c>
      <c r="D59" s="1" t="s">
        <v>23</v>
      </c>
      <c r="E59" s="1" t="s">
        <v>27</v>
      </c>
      <c r="F59" s="4" t="s">
        <v>30</v>
      </c>
      <c r="G59" s="4">
        <f t="shared" si="1"/>
        <v>172144</v>
      </c>
      <c r="H59" s="4">
        <f t="shared" si="2"/>
        <v>-6.7063381373004827E-2</v>
      </c>
    </row>
    <row r="61" spans="2:8" x14ac:dyDescent="0.35">
      <c r="B61" s="1" t="s">
        <v>32</v>
      </c>
    </row>
    <row r="62" spans="2:8" x14ac:dyDescent="0.35">
      <c r="B62" s="1" t="s">
        <v>33</v>
      </c>
      <c r="C62" s="1" t="s">
        <v>16</v>
      </c>
      <c r="D62" s="1" t="s">
        <v>34</v>
      </c>
      <c r="E62" s="1" t="s">
        <v>35</v>
      </c>
      <c r="F62" s="1" t="s">
        <v>36</v>
      </c>
    </row>
    <row r="63" spans="2:8" x14ac:dyDescent="0.35">
      <c r="B63" s="1" t="s">
        <v>7</v>
      </c>
      <c r="C63" s="4">
        <v>508</v>
      </c>
      <c r="D63" s="4">
        <v>88</v>
      </c>
      <c r="E63" s="4">
        <f>D63/C63</f>
        <v>0.17322834645669291</v>
      </c>
      <c r="F63" s="4">
        <v>418</v>
      </c>
      <c r="G63" s="4">
        <f>D63/F63</f>
        <v>0.21052631578947367</v>
      </c>
      <c r="H63" s="4"/>
    </row>
    <row r="64" spans="2:8" x14ac:dyDescent="0.35">
      <c r="B64" s="1" t="s">
        <v>8</v>
      </c>
      <c r="C64" s="4">
        <v>359130</v>
      </c>
      <c r="D64" s="4">
        <v>204527</v>
      </c>
      <c r="E64" s="4">
        <f t="shared" ref="E64:E65" si="3">D64/C64</f>
        <v>0.56950686380976245</v>
      </c>
      <c r="F64" s="4">
        <v>154502</v>
      </c>
      <c r="G64" s="4">
        <f t="shared" ref="G64:G65" si="4">D64/F64</f>
        <v>1.3237822164114381</v>
      </c>
      <c r="H64" s="4"/>
    </row>
    <row r="65" spans="2:11" x14ac:dyDescent="0.35">
      <c r="B65" s="1" t="s">
        <v>9</v>
      </c>
      <c r="C65" s="4">
        <v>2635021</v>
      </c>
      <c r="D65" s="4">
        <v>148912</v>
      </c>
      <c r="E65" s="4">
        <f t="shared" si="3"/>
        <v>5.6512642593740239E-2</v>
      </c>
      <c r="F65" s="4">
        <v>2486108</v>
      </c>
      <c r="G65" s="4">
        <f t="shared" si="4"/>
        <v>5.9897639201514981E-2</v>
      </c>
      <c r="H65" s="4"/>
    </row>
    <row r="66" spans="2:11" x14ac:dyDescent="0.35">
      <c r="F66" s="4"/>
      <c r="G66" s="4"/>
      <c r="H66" s="4"/>
    </row>
    <row r="68" spans="2:11" x14ac:dyDescent="0.35">
      <c r="C68" s="1" t="s">
        <v>94</v>
      </c>
    </row>
    <row r="69" spans="2:11" x14ac:dyDescent="0.35">
      <c r="C69" s="1" t="s">
        <v>15</v>
      </c>
      <c r="D69" s="1" t="s">
        <v>40</v>
      </c>
      <c r="E69" s="1" t="s">
        <v>37</v>
      </c>
      <c r="F69" s="1" t="s">
        <v>38</v>
      </c>
      <c r="G69" s="1" t="s">
        <v>39</v>
      </c>
      <c r="H69" s="1" t="s">
        <v>41</v>
      </c>
      <c r="I69" s="1" t="s">
        <v>89</v>
      </c>
      <c r="J69" s="1" t="s">
        <v>96</v>
      </c>
      <c r="K69" s="1" t="s">
        <v>101</v>
      </c>
    </row>
    <row r="70" spans="2:11" s="4" customFormat="1" x14ac:dyDescent="0.35">
      <c r="C70" s="4">
        <v>2</v>
      </c>
      <c r="D70" s="11">
        <v>112.449591199983</v>
      </c>
      <c r="E70" s="11">
        <v>1.42899999627843E-3</v>
      </c>
      <c r="F70" s="11">
        <v>1.40904999861959E-2</v>
      </c>
      <c r="G70" s="11">
        <v>0.12420980000751999</v>
      </c>
      <c r="H70" s="6">
        <f>SUM(D70:G70)</f>
        <v>112.589320499973</v>
      </c>
      <c r="I70" s="6">
        <f>(D70+E70)</f>
        <v>112.45102019997928</v>
      </c>
      <c r="J70" s="9">
        <f>G70+F70</f>
        <v>0.1383002999937159</v>
      </c>
      <c r="K70" s="11">
        <f>J70/D70</f>
        <v>1.2298870855631603E-3</v>
      </c>
    </row>
    <row r="71" spans="2:11" s="4" customFormat="1" x14ac:dyDescent="0.35">
      <c r="C71" s="4">
        <v>3</v>
      </c>
      <c r="D71" s="11">
        <v>432.46177490000201</v>
      </c>
      <c r="E71" s="11">
        <v>2.6744585999986099</v>
      </c>
      <c r="F71" s="11">
        <v>58.425300999981097</v>
      </c>
      <c r="G71" s="11">
        <v>199.934930000017</v>
      </c>
      <c r="H71" s="6">
        <f t="shared" ref="H71:H72" si="5">SUM(D71:G71)</f>
        <v>693.49646449999875</v>
      </c>
      <c r="I71" s="6">
        <f t="shared" ref="I71:I72" si="6">(D71+E71)</f>
        <v>435.13623350000063</v>
      </c>
      <c r="J71" s="9">
        <f t="shared" ref="J71:J72" si="7">G71+F71</f>
        <v>258.36023099999812</v>
      </c>
      <c r="K71" s="11">
        <f t="shared" ref="K71:K72" si="8">J71/D71</f>
        <v>0.59741749674809685</v>
      </c>
    </row>
    <row r="72" spans="2:11" s="4" customFormat="1" x14ac:dyDescent="0.35">
      <c r="C72" s="4">
        <v>4</v>
      </c>
      <c r="D72" s="11"/>
      <c r="E72" s="11"/>
      <c r="F72" s="11"/>
      <c r="G72" s="11"/>
      <c r="H72" s="4">
        <f t="shared" si="5"/>
        <v>0</v>
      </c>
      <c r="I72" s="6">
        <f t="shared" si="6"/>
        <v>0</v>
      </c>
      <c r="J72" s="9">
        <f t="shared" si="7"/>
        <v>0</v>
      </c>
      <c r="K72" s="11" t="e">
        <f t="shared" si="8"/>
        <v>#DIV/0!</v>
      </c>
    </row>
    <row r="74" spans="2:11" x14ac:dyDescent="0.35">
      <c r="C74" s="1" t="s">
        <v>94</v>
      </c>
    </row>
    <row r="75" spans="2:11" x14ac:dyDescent="0.35">
      <c r="C75" s="1" t="s">
        <v>15</v>
      </c>
      <c r="D75" s="1" t="s">
        <v>42</v>
      </c>
      <c r="E75" s="1" t="s">
        <v>43</v>
      </c>
      <c r="F75" s="1" t="s">
        <v>44</v>
      </c>
      <c r="G75" s="1" t="s">
        <v>45</v>
      </c>
      <c r="H75" s="1" t="s">
        <v>46</v>
      </c>
      <c r="I75" s="1" t="s">
        <v>90</v>
      </c>
      <c r="J75" s="1" t="s">
        <v>97</v>
      </c>
      <c r="K75" s="1" t="s">
        <v>102</v>
      </c>
    </row>
    <row r="76" spans="2:11" x14ac:dyDescent="0.35">
      <c r="C76" s="4">
        <v>2</v>
      </c>
      <c r="D76" s="11">
        <v>106.722055099991</v>
      </c>
      <c r="E76" s="11">
        <v>1.88490000437013E-3</v>
      </c>
      <c r="F76" s="11">
        <v>3.1458100012969198E-2</v>
      </c>
      <c r="G76" s="11">
        <v>0.27219430002151002</v>
      </c>
      <c r="H76" s="6">
        <f>SUM(D76:G76)</f>
        <v>107.02759240002985</v>
      </c>
      <c r="I76" s="6">
        <f>(D76+E76)</f>
        <v>106.72393999999537</v>
      </c>
      <c r="J76" s="9">
        <f>G76+F76</f>
        <v>0.30365240003447924</v>
      </c>
      <c r="K76" s="11">
        <f>J76/D76</f>
        <v>2.8452637999706668E-3</v>
      </c>
    </row>
    <row r="77" spans="2:11" s="4" customFormat="1" x14ac:dyDescent="0.35">
      <c r="C77" s="4">
        <v>3</v>
      </c>
      <c r="D77" s="11">
        <v>435.46399859999599</v>
      </c>
      <c r="E77" s="11">
        <v>2.8348992000101099</v>
      </c>
      <c r="F77" s="11">
        <v>81.507741900015304</v>
      </c>
      <c r="G77" s="11">
        <v>347.67646899999801</v>
      </c>
      <c r="H77" s="6">
        <f>SUM(D77:G77)</f>
        <v>867.48310870001933</v>
      </c>
      <c r="I77" s="6">
        <f t="shared" ref="I77:I78" si="9">(D77+E77)</f>
        <v>438.2988978000061</v>
      </c>
      <c r="J77" s="9">
        <f t="shared" ref="J77:J78" si="10">G77+F77</f>
        <v>429.18421090001334</v>
      </c>
      <c r="K77" s="11">
        <f t="shared" ref="K77:K78" si="11">J77/D77</f>
        <v>0.98557908869580035</v>
      </c>
    </row>
    <row r="78" spans="2:11" s="4" customFormat="1" x14ac:dyDescent="0.35">
      <c r="C78" s="4">
        <v>4</v>
      </c>
      <c r="D78" s="11"/>
      <c r="E78" s="11"/>
      <c r="F78" s="11"/>
      <c r="G78" s="11"/>
      <c r="I78" s="6">
        <f t="shared" si="9"/>
        <v>0</v>
      </c>
      <c r="J78" s="9">
        <f t="shared" si="10"/>
        <v>0</v>
      </c>
      <c r="K78" s="11" t="e">
        <f t="shared" si="11"/>
        <v>#DIV/0!</v>
      </c>
    </row>
    <row r="80" spans="2:11" x14ac:dyDescent="0.35">
      <c r="C80" s="1" t="s">
        <v>94</v>
      </c>
    </row>
    <row r="81" spans="3:11" x14ac:dyDescent="0.35">
      <c r="C81" s="1" t="s">
        <v>15</v>
      </c>
      <c r="D81" s="1" t="s">
        <v>51</v>
      </c>
      <c r="E81" s="1" t="s">
        <v>50</v>
      </c>
      <c r="F81" s="1" t="s">
        <v>49</v>
      </c>
      <c r="G81" s="1" t="s">
        <v>48</v>
      </c>
      <c r="H81" s="1" t="s">
        <v>47</v>
      </c>
      <c r="I81" s="1" t="s">
        <v>91</v>
      </c>
      <c r="J81" s="1" t="s">
        <v>98</v>
      </c>
      <c r="K81" s="1" t="s">
        <v>103</v>
      </c>
    </row>
    <row r="82" spans="3:11" s="4" customFormat="1" x14ac:dyDescent="0.35">
      <c r="C82" s="4">
        <v>2</v>
      </c>
      <c r="D82" s="12">
        <v>98.522515999997196</v>
      </c>
      <c r="E82" s="12">
        <v>1.9183999975211901E-3</v>
      </c>
      <c r="F82" s="12">
        <v>4.4192100001964697E-2</v>
      </c>
      <c r="G82" s="12">
        <v>0.28554489999078198</v>
      </c>
      <c r="H82" s="12">
        <f>SUM(D82:G82)</f>
        <v>98.854171399987464</v>
      </c>
      <c r="I82" s="6">
        <f>(D82+E82)</f>
        <v>98.524434399994718</v>
      </c>
      <c r="J82" s="9">
        <f>G82+F82</f>
        <v>0.32973699999274669</v>
      </c>
      <c r="K82" s="11">
        <f>J82/D82</f>
        <v>3.3468187108899664E-3</v>
      </c>
    </row>
    <row r="83" spans="3:11" s="4" customFormat="1" x14ac:dyDescent="0.35">
      <c r="C83" s="4">
        <v>3</v>
      </c>
      <c r="D83" s="12">
        <v>439.664883499994</v>
      </c>
      <c r="E83" s="12">
        <v>2.8796669000002999</v>
      </c>
      <c r="F83" s="12">
        <v>75.220504099997896</v>
      </c>
      <c r="G83" s="12">
        <v>524.30570260001696</v>
      </c>
      <c r="H83" s="12">
        <f>SUM(D83:G83)</f>
        <v>1042.0707571000091</v>
      </c>
      <c r="I83" s="6">
        <f t="shared" ref="I83:I84" si="12">(D83+E83)</f>
        <v>442.54455039999431</v>
      </c>
      <c r="J83" s="9">
        <f t="shared" ref="J83:J84" si="13">G83+F83</f>
        <v>599.52620670001488</v>
      </c>
      <c r="K83" s="11">
        <f t="shared" ref="K83:K84" si="14">J83/D83</f>
        <v>1.3635981157454051</v>
      </c>
    </row>
    <row r="84" spans="3:11" s="4" customFormat="1" x14ac:dyDescent="0.35">
      <c r="C84" s="4">
        <v>4</v>
      </c>
      <c r="D84" s="12"/>
      <c r="E84" s="12"/>
      <c r="F84" s="12"/>
      <c r="G84" s="12"/>
      <c r="H84" s="12"/>
      <c r="I84" s="6">
        <f t="shared" si="12"/>
        <v>0</v>
      </c>
      <c r="J84" s="9">
        <f t="shared" si="13"/>
        <v>0</v>
      </c>
      <c r="K84" s="11" t="e">
        <f t="shared" si="14"/>
        <v>#DIV/0!</v>
      </c>
    </row>
    <row r="86" spans="3:11" x14ac:dyDescent="0.35">
      <c r="C86" s="1" t="s">
        <v>94</v>
      </c>
    </row>
    <row r="87" spans="3:11" x14ac:dyDescent="0.35">
      <c r="C87" s="1" t="s">
        <v>15</v>
      </c>
      <c r="D87" s="1" t="s">
        <v>52</v>
      </c>
      <c r="E87" s="1" t="s">
        <v>53</v>
      </c>
      <c r="F87" s="1" t="s">
        <v>54</v>
      </c>
      <c r="G87" s="1" t="s">
        <v>55</v>
      </c>
      <c r="H87" s="1" t="s">
        <v>56</v>
      </c>
      <c r="I87" s="1" t="s">
        <v>92</v>
      </c>
      <c r="J87" s="1" t="s">
        <v>99</v>
      </c>
      <c r="K87" s="1" t="s">
        <v>104</v>
      </c>
    </row>
    <row r="88" spans="3:11" s="4" customFormat="1" x14ac:dyDescent="0.35">
      <c r="C88" s="4">
        <v>2</v>
      </c>
      <c r="D88" s="6">
        <v>99.896192599990101</v>
      </c>
      <c r="E88" s="6">
        <v>1.7024999833665699E-3</v>
      </c>
      <c r="F88" s="6">
        <v>4.4192100001964697E-2</v>
      </c>
      <c r="G88" s="6">
        <v>0.36928970000008099</v>
      </c>
      <c r="H88" s="6">
        <f>SUM(D88:G88)</f>
        <v>100.31137689997551</v>
      </c>
      <c r="I88" s="6">
        <f>(D88+E88)</f>
        <v>99.897895099973468</v>
      </c>
      <c r="J88" s="9">
        <f>G88+F88</f>
        <v>0.41348180000204571</v>
      </c>
      <c r="K88" s="11">
        <f>J88/D88</f>
        <v>4.139114707381617E-3</v>
      </c>
    </row>
    <row r="89" spans="3:11" s="4" customFormat="1" x14ac:dyDescent="0.35">
      <c r="C89" s="4">
        <v>3</v>
      </c>
      <c r="D89" s="6">
        <v>358.81276109997998</v>
      </c>
      <c r="E89" s="6">
        <v>2.4278150000027301</v>
      </c>
      <c r="F89" s="6">
        <v>99.754166800004896</v>
      </c>
      <c r="G89" s="6">
        <v>730.59805099997902</v>
      </c>
      <c r="H89" s="6">
        <f>SUM(D89:G89)</f>
        <v>1191.5927938999666</v>
      </c>
      <c r="I89" s="6">
        <f t="shared" ref="I89:I90" si="15">(D89+E89)</f>
        <v>361.24057609998272</v>
      </c>
      <c r="J89" s="9">
        <f>G89+F89</f>
        <v>830.35221779998392</v>
      </c>
      <c r="K89" s="11">
        <f t="shared" ref="K89:K90" si="16">J89/D89</f>
        <v>2.3141657929178656</v>
      </c>
    </row>
    <row r="90" spans="3:11" s="4" customFormat="1" x14ac:dyDescent="0.35">
      <c r="C90" s="4">
        <v>4</v>
      </c>
      <c r="D90" s="6"/>
      <c r="E90" s="6"/>
      <c r="F90" s="6"/>
      <c r="G90" s="6"/>
      <c r="H90" s="6">
        <f>SUM(D90:G90)</f>
        <v>0</v>
      </c>
      <c r="I90" s="6">
        <f t="shared" si="15"/>
        <v>0</v>
      </c>
      <c r="J90" s="9">
        <f t="shared" ref="J90" si="17">G90+F90</f>
        <v>0</v>
      </c>
      <c r="K90" s="11" t="e">
        <f t="shared" si="16"/>
        <v>#DIV/0!</v>
      </c>
    </row>
    <row r="92" spans="3:11" x14ac:dyDescent="0.35">
      <c r="C92" s="1" t="s">
        <v>94</v>
      </c>
    </row>
    <row r="93" spans="3:11" x14ac:dyDescent="0.35">
      <c r="C93" s="1" t="s">
        <v>15</v>
      </c>
      <c r="D93" s="1" t="s">
        <v>57</v>
      </c>
      <c r="E93" s="1" t="s">
        <v>58</v>
      </c>
      <c r="F93" s="1" t="s">
        <v>59</v>
      </c>
      <c r="G93" s="1" t="s">
        <v>60</v>
      </c>
      <c r="H93" s="1" t="s">
        <v>61</v>
      </c>
      <c r="I93" s="1" t="s">
        <v>93</v>
      </c>
      <c r="J93" s="1" t="s">
        <v>100</v>
      </c>
      <c r="K93" s="1" t="s">
        <v>105</v>
      </c>
    </row>
    <row r="94" spans="3:11" x14ac:dyDescent="0.35">
      <c r="C94" s="4">
        <v>2</v>
      </c>
      <c r="D94" s="6">
        <v>101.23285389999999</v>
      </c>
      <c r="E94" s="6">
        <v>1.64870001026429E-3</v>
      </c>
      <c r="F94" s="6">
        <v>4.1228400019463103E-2</v>
      </c>
      <c r="G94" s="6">
        <v>0.50416630000108797</v>
      </c>
      <c r="H94" s="6">
        <f>SUM(D94:G94)</f>
        <v>101.77989730003081</v>
      </c>
      <c r="I94" s="6">
        <f>(D94+E94)</f>
        <v>101.23450260001026</v>
      </c>
      <c r="J94" s="9">
        <f>G94+F94</f>
        <v>0.54539470002055113</v>
      </c>
      <c r="K94" s="11">
        <f>J94/D94</f>
        <v>5.3875266675708243E-3</v>
      </c>
    </row>
    <row r="95" spans="3:11" x14ac:dyDescent="0.35">
      <c r="C95" s="4">
        <v>3</v>
      </c>
      <c r="D95" s="6">
        <v>355.08468520000997</v>
      </c>
      <c r="E95" s="6">
        <v>2.3933787000132698</v>
      </c>
      <c r="F95" s="6">
        <v>71.329274199990294</v>
      </c>
      <c r="G95" s="6">
        <v>1060.12395100001</v>
      </c>
      <c r="H95" s="6">
        <f t="shared" ref="H95:H96" si="18">SUM(D95:G95)</f>
        <v>1488.9312891000236</v>
      </c>
      <c r="I95" s="6">
        <f t="shared" ref="I95:I96" si="19">(D95+E95)</f>
        <v>357.47806390002324</v>
      </c>
      <c r="J95" s="9">
        <f>F95+G95</f>
        <v>1131.4532252000004</v>
      </c>
      <c r="K95" s="11">
        <f t="shared" ref="K95:K96" si="20">J95/D95</f>
        <v>3.1864320607425864</v>
      </c>
    </row>
    <row r="96" spans="3:11" x14ac:dyDescent="0.35">
      <c r="C96" s="4">
        <v>4</v>
      </c>
      <c r="D96" s="6"/>
      <c r="E96" s="6"/>
      <c r="F96" s="6"/>
      <c r="G96" s="6"/>
      <c r="H96" s="6">
        <f t="shared" si="18"/>
        <v>0</v>
      </c>
      <c r="I96" s="6">
        <f t="shared" si="19"/>
        <v>0</v>
      </c>
      <c r="J96" s="9">
        <f t="shared" ref="J96" si="21">G96+F96</f>
        <v>0</v>
      </c>
      <c r="K96" s="11" t="e">
        <f t="shared" si="20"/>
        <v>#DIV/0!</v>
      </c>
    </row>
    <row r="97" spans="3:11" x14ac:dyDescent="0.35">
      <c r="C97" s="4"/>
      <c r="D97" s="4"/>
      <c r="E97" s="4"/>
      <c r="F97" s="4"/>
      <c r="G97" s="4"/>
      <c r="H97" s="4"/>
      <c r="I97" s="6"/>
      <c r="J97" s="9"/>
      <c r="K97" s="11"/>
    </row>
    <row r="98" spans="3:11" x14ac:dyDescent="0.35">
      <c r="C98" s="4" t="s">
        <v>123</v>
      </c>
      <c r="E98" s="4"/>
      <c r="F98" s="4"/>
      <c r="G98" s="4"/>
      <c r="H98" s="4"/>
      <c r="I98" s="4"/>
      <c r="J98" s="6"/>
      <c r="K98" s="9"/>
    </row>
    <row r="99" spans="3:11" x14ac:dyDescent="0.35">
      <c r="C99" s="1" t="s">
        <v>119</v>
      </c>
      <c r="D99" s="4" t="s">
        <v>113</v>
      </c>
      <c r="E99" s="4" t="s">
        <v>114</v>
      </c>
      <c r="F99" s="4" t="s">
        <v>115</v>
      </c>
      <c r="G99" s="4" t="s">
        <v>116</v>
      </c>
      <c r="H99" s="4" t="s">
        <v>117</v>
      </c>
      <c r="I99" s="4" t="s">
        <v>88</v>
      </c>
      <c r="J99" s="6" t="s">
        <v>95</v>
      </c>
      <c r="K99" s="9" t="s">
        <v>118</v>
      </c>
    </row>
    <row r="100" spans="3:11" x14ac:dyDescent="0.35">
      <c r="C100" s="1" t="s">
        <v>25</v>
      </c>
      <c r="D100" s="11">
        <v>112.449591199983</v>
      </c>
      <c r="E100" s="11">
        <v>1.42899999627843E-3</v>
      </c>
      <c r="F100" s="11">
        <v>1.40904999861959E-2</v>
      </c>
      <c r="G100" s="11">
        <v>0.12420980000751999</v>
      </c>
      <c r="H100" s="6">
        <f>SUM(D100:G100)</f>
        <v>112.589320499973</v>
      </c>
      <c r="I100" s="6">
        <f>(D100+E100)</f>
        <v>112.45102019997928</v>
      </c>
      <c r="J100" s="9">
        <f>G100+F100</f>
        <v>0.1383002999937159</v>
      </c>
      <c r="K100" s="11">
        <f>J100/D100</f>
        <v>1.2298870855631603E-3</v>
      </c>
    </row>
    <row r="101" spans="3:11" x14ac:dyDescent="0.35">
      <c r="C101" s="1" t="s">
        <v>8</v>
      </c>
      <c r="D101" s="11">
        <v>106.722055099991</v>
      </c>
      <c r="E101" s="11">
        <v>1.88490000437013E-3</v>
      </c>
      <c r="F101" s="11">
        <v>3.1458100012969198E-2</v>
      </c>
      <c r="G101" s="11">
        <v>0.27219430002151002</v>
      </c>
      <c r="H101" s="6">
        <f>SUM(D101:G101)</f>
        <v>107.02759240002985</v>
      </c>
      <c r="I101" s="6">
        <f>(D101+E101)</f>
        <v>106.72393999999537</v>
      </c>
      <c r="J101" s="9">
        <f>G101+F101</f>
        <v>0.30365240003447924</v>
      </c>
      <c r="K101" s="11">
        <f>J101/D101</f>
        <v>2.8452637999706668E-3</v>
      </c>
    </row>
    <row r="102" spans="3:11" x14ac:dyDescent="0.35">
      <c r="C102" s="1" t="s">
        <v>120</v>
      </c>
      <c r="D102" s="12">
        <v>98.522515999997196</v>
      </c>
      <c r="E102" s="12">
        <v>1.9183999975211901E-3</v>
      </c>
      <c r="F102" s="12">
        <v>4.4192100001964697E-2</v>
      </c>
      <c r="G102" s="12">
        <v>0.28554489999078198</v>
      </c>
      <c r="H102" s="12">
        <f>SUM(D102:G102)</f>
        <v>98.854171399987464</v>
      </c>
      <c r="I102" s="6">
        <f>(D102+E102)</f>
        <v>98.524434399994718</v>
      </c>
      <c r="J102" s="9">
        <f>G102+F102</f>
        <v>0.32973699999274669</v>
      </c>
      <c r="K102" s="11">
        <f>J102/D102</f>
        <v>3.3468187108899664E-3</v>
      </c>
    </row>
    <row r="103" spans="3:11" x14ac:dyDescent="0.35">
      <c r="C103" s="1" t="s">
        <v>121</v>
      </c>
      <c r="D103" s="6">
        <v>99.896192599990101</v>
      </c>
      <c r="E103" s="6">
        <v>1.7024999833665699E-3</v>
      </c>
      <c r="F103" s="6">
        <v>4.4192100001964697E-2</v>
      </c>
      <c r="G103" s="6">
        <v>0.36928970000008099</v>
      </c>
      <c r="H103" s="6">
        <f>SUM(D103:G103)</f>
        <v>100.31137689997551</v>
      </c>
      <c r="I103" s="6">
        <f>(D103+E103)</f>
        <v>99.897895099973468</v>
      </c>
      <c r="J103" s="9">
        <f>G103+F103</f>
        <v>0.41348180000204571</v>
      </c>
      <c r="K103" s="11">
        <f>J103/D103</f>
        <v>4.139114707381617E-3</v>
      </c>
    </row>
    <row r="104" spans="3:11" x14ac:dyDescent="0.35">
      <c r="C104" s="1" t="s">
        <v>122</v>
      </c>
      <c r="D104" s="6">
        <v>101.23285389999999</v>
      </c>
      <c r="E104" s="6">
        <v>1.64870001026429E-3</v>
      </c>
      <c r="F104" s="6">
        <v>4.1228400019463103E-2</v>
      </c>
      <c r="G104" s="6">
        <v>0.50416630000108797</v>
      </c>
      <c r="H104" s="6">
        <f>SUM(D104:G104)</f>
        <v>101.77989730003081</v>
      </c>
      <c r="I104" s="6">
        <f>(D104+E104)</f>
        <v>101.23450260001026</v>
      </c>
      <c r="J104" s="9">
        <f>G104+F104</f>
        <v>0.54539470002055113</v>
      </c>
      <c r="K104" s="11">
        <f>J104/D104</f>
        <v>5.3875266675708243E-3</v>
      </c>
    </row>
    <row r="105" spans="3:11" x14ac:dyDescent="0.35">
      <c r="D105" s="6"/>
      <c r="E105" s="6"/>
      <c r="F105" s="6"/>
      <c r="G105" s="6"/>
      <c r="H105" s="6"/>
      <c r="I105" s="6"/>
      <c r="J105" s="9"/>
      <c r="K105" s="11"/>
    </row>
    <row r="106" spans="3:11" x14ac:dyDescent="0.35">
      <c r="C106" s="4" t="s">
        <v>160</v>
      </c>
      <c r="E106" s="4"/>
      <c r="F106" s="4"/>
      <c r="G106" s="4"/>
      <c r="H106" s="4"/>
      <c r="I106" s="4"/>
      <c r="J106" s="6"/>
      <c r="K106" s="9"/>
    </row>
    <row r="107" spans="3:11" x14ac:dyDescent="0.35">
      <c r="C107" s="1" t="s">
        <v>119</v>
      </c>
      <c r="D107" s="4" t="s">
        <v>113</v>
      </c>
      <c r="E107" s="4" t="s">
        <v>114</v>
      </c>
      <c r="F107" s="4" t="s">
        <v>115</v>
      </c>
      <c r="G107" s="4" t="s">
        <v>116</v>
      </c>
      <c r="H107" s="4" t="s">
        <v>117</v>
      </c>
      <c r="I107" s="4" t="s">
        <v>88</v>
      </c>
      <c r="J107" s="6" t="s">
        <v>95</v>
      </c>
      <c r="K107" s="9" t="s">
        <v>118</v>
      </c>
    </row>
    <row r="108" spans="3:11" x14ac:dyDescent="0.35">
      <c r="C108" s="1" t="s">
        <v>25</v>
      </c>
      <c r="D108" s="11">
        <v>432.46177490000201</v>
      </c>
      <c r="E108" s="11">
        <v>2.6744585999986099</v>
      </c>
      <c r="F108" s="11">
        <v>58.425300999981097</v>
      </c>
      <c r="G108" s="11">
        <v>199.934930000017</v>
      </c>
      <c r="H108" s="6">
        <f t="shared" ref="H108" si="22">SUM(D108:G108)</f>
        <v>693.49646449999875</v>
      </c>
      <c r="I108" s="6">
        <f t="shared" ref="I108" si="23">(D108+E108)</f>
        <v>435.13623350000063</v>
      </c>
      <c r="J108" s="9">
        <f t="shared" ref="J108" si="24">G108+F108</f>
        <v>258.36023099999812</v>
      </c>
      <c r="K108" s="11">
        <f t="shared" ref="K108" si="25">J108/D108</f>
        <v>0.59741749674809685</v>
      </c>
    </row>
    <row r="109" spans="3:11" x14ac:dyDescent="0.35">
      <c r="C109" s="1" t="s">
        <v>8</v>
      </c>
      <c r="D109" s="11">
        <v>435.46399859999599</v>
      </c>
      <c r="E109" s="11">
        <v>2.8348992000101099</v>
      </c>
      <c r="F109" s="11">
        <v>81.507741900015304</v>
      </c>
      <c r="G109" s="11">
        <v>347.67646899999801</v>
      </c>
      <c r="H109" s="6">
        <v>867.48310870001933</v>
      </c>
      <c r="I109" s="6">
        <v>438.2988978000061</v>
      </c>
      <c r="J109" s="9">
        <v>429.18421090001334</v>
      </c>
      <c r="K109" s="11">
        <v>0.98557908869580035</v>
      </c>
    </row>
    <row r="110" spans="3:11" x14ac:dyDescent="0.35">
      <c r="C110" s="1" t="s">
        <v>120</v>
      </c>
      <c r="D110" s="12">
        <v>439.664883499994</v>
      </c>
      <c r="E110" s="12">
        <v>2.8796669000002999</v>
      </c>
      <c r="F110" s="12">
        <v>75.220504099997896</v>
      </c>
      <c r="G110" s="12">
        <v>524.30570260001696</v>
      </c>
      <c r="H110" s="12">
        <v>1042.0707571000091</v>
      </c>
      <c r="I110" s="6">
        <v>442.54455039999431</v>
      </c>
      <c r="J110" s="9">
        <v>599.52620670001488</v>
      </c>
      <c r="K110" s="11">
        <v>1.3635981157454051</v>
      </c>
    </row>
    <row r="111" spans="3:11" x14ac:dyDescent="0.35">
      <c r="C111" s="1" t="s">
        <v>121</v>
      </c>
      <c r="D111" s="6">
        <v>358.81276109997998</v>
      </c>
      <c r="E111" s="6">
        <v>2.4278150000027301</v>
      </c>
      <c r="F111" s="6">
        <v>99.754166800004896</v>
      </c>
      <c r="G111" s="6">
        <v>730.59805099997902</v>
      </c>
      <c r="H111" s="6">
        <f>SUM(D111:G111)</f>
        <v>1191.5927938999666</v>
      </c>
      <c r="I111" s="6">
        <f t="shared" ref="I111:I112" si="26">(D111+E111)</f>
        <v>361.24057609998272</v>
      </c>
      <c r="J111" s="9">
        <f>G111+F111</f>
        <v>830.35221779998392</v>
      </c>
      <c r="K111" s="11">
        <f t="shared" ref="K111:K112" si="27">J111/D111</f>
        <v>2.3141657929178656</v>
      </c>
    </row>
    <row r="112" spans="3:11" x14ac:dyDescent="0.35">
      <c r="C112" s="1" t="s">
        <v>122</v>
      </c>
      <c r="D112" s="6">
        <v>355.08468520000997</v>
      </c>
      <c r="E112" s="6">
        <v>2.3933787000132698</v>
      </c>
      <c r="F112" s="6">
        <v>71.329274199990294</v>
      </c>
      <c r="G112" s="6">
        <v>1060.12395100001</v>
      </c>
      <c r="H112" s="6">
        <f t="shared" ref="H112" si="28">SUM(D112:G112)</f>
        <v>1488.9312891000236</v>
      </c>
      <c r="I112" s="6">
        <f t="shared" si="26"/>
        <v>357.47806390002324</v>
      </c>
      <c r="J112" s="9">
        <f>F112+G112</f>
        <v>1131.4532252000004</v>
      </c>
      <c r="K112" s="11">
        <f t="shared" si="27"/>
        <v>3.1864320607425864</v>
      </c>
    </row>
    <row r="113" spans="3:11" x14ac:dyDescent="0.35">
      <c r="D113" s="6"/>
      <c r="E113" s="6"/>
      <c r="F113" s="6"/>
      <c r="G113" s="6"/>
      <c r="H113" s="6"/>
      <c r="I113" s="6"/>
      <c r="J113" s="9"/>
      <c r="K113" s="11"/>
    </row>
    <row r="114" spans="3:11" x14ac:dyDescent="0.35">
      <c r="C114" s="4" t="s">
        <v>161</v>
      </c>
      <c r="E114" s="4"/>
      <c r="F114" s="4"/>
      <c r="G114" s="4"/>
      <c r="H114" s="4"/>
      <c r="I114" s="4"/>
      <c r="J114" s="6"/>
      <c r="K114" s="9"/>
    </row>
    <row r="115" spans="3:11" x14ac:dyDescent="0.35">
      <c r="C115" s="1" t="s">
        <v>119</v>
      </c>
      <c r="D115" s="4" t="s">
        <v>113</v>
      </c>
      <c r="E115" s="4" t="s">
        <v>114</v>
      </c>
      <c r="F115" s="4" t="s">
        <v>115</v>
      </c>
      <c r="G115" s="4" t="s">
        <v>116</v>
      </c>
      <c r="H115" s="4" t="s">
        <v>117</v>
      </c>
      <c r="I115" s="4" t="s">
        <v>88</v>
      </c>
      <c r="J115" s="6" t="s">
        <v>95</v>
      </c>
      <c r="K115" s="9" t="s">
        <v>118</v>
      </c>
    </row>
    <row r="116" spans="3:11" x14ac:dyDescent="0.35">
      <c r="C116" s="1" t="s">
        <v>25</v>
      </c>
      <c r="D116" s="11"/>
      <c r="E116" s="11"/>
      <c r="F116" s="11"/>
      <c r="G116" s="11"/>
      <c r="H116" s="6"/>
      <c r="I116" s="6"/>
      <c r="J116" s="9"/>
      <c r="K116" s="11"/>
    </row>
    <row r="117" spans="3:11" x14ac:dyDescent="0.35">
      <c r="C117" s="1" t="s">
        <v>8</v>
      </c>
      <c r="D117" s="11"/>
      <c r="E117" s="11"/>
      <c r="F117" s="11"/>
      <c r="G117" s="11"/>
      <c r="H117" s="6"/>
      <c r="I117" s="6"/>
      <c r="J117" s="9"/>
      <c r="K117" s="11"/>
    </row>
    <row r="118" spans="3:11" x14ac:dyDescent="0.35">
      <c r="C118" s="1" t="s">
        <v>120</v>
      </c>
      <c r="D118" s="12"/>
      <c r="E118" s="12"/>
      <c r="F118" s="12"/>
      <c r="G118" s="12"/>
      <c r="H118" s="12"/>
      <c r="I118" s="6"/>
      <c r="J118" s="9"/>
      <c r="K118" s="11"/>
    </row>
    <row r="119" spans="3:11" x14ac:dyDescent="0.35">
      <c r="C119" s="1" t="s">
        <v>121</v>
      </c>
      <c r="D119" s="6"/>
      <c r="E119" s="6"/>
      <c r="F119" s="6"/>
      <c r="G119" s="6"/>
      <c r="H119" s="6"/>
      <c r="I119" s="6"/>
      <c r="J119" s="9"/>
      <c r="K119" s="11"/>
    </row>
    <row r="120" spans="3:11" x14ac:dyDescent="0.35">
      <c r="C120" s="1" t="s">
        <v>122</v>
      </c>
      <c r="D120" s="6"/>
      <c r="E120" s="6"/>
      <c r="F120" s="6"/>
      <c r="G120" s="6"/>
      <c r="H120" s="6"/>
      <c r="I120" s="6"/>
      <c r="J120" s="9"/>
      <c r="K120" s="11"/>
    </row>
    <row r="121" spans="3:11" x14ac:dyDescent="0.35">
      <c r="D121" s="6"/>
      <c r="E121" s="6"/>
      <c r="F121" s="6"/>
      <c r="G121" s="6"/>
      <c r="H121" s="6"/>
      <c r="I121" s="6"/>
      <c r="J121" s="9"/>
      <c r="K121" s="11"/>
    </row>
    <row r="122" spans="3:11" x14ac:dyDescent="0.35">
      <c r="C122" s="4"/>
      <c r="E122" s="4"/>
      <c r="F122" s="4"/>
      <c r="G122" s="4"/>
      <c r="H122" s="4"/>
      <c r="I122" s="4"/>
      <c r="J122" s="6"/>
      <c r="K122" s="9"/>
    </row>
    <row r="123" spans="3:11" x14ac:dyDescent="0.35">
      <c r="D123" s="4"/>
      <c r="E123" s="4"/>
      <c r="F123" s="4"/>
      <c r="G123" s="4"/>
      <c r="H123" s="4"/>
      <c r="I123" s="4"/>
      <c r="J123" s="6"/>
      <c r="K123" s="9"/>
    </row>
    <row r="124" spans="3:11" x14ac:dyDescent="0.35">
      <c r="D124" s="11"/>
      <c r="E124" s="11"/>
      <c r="F124" s="11"/>
      <c r="G124" s="11"/>
      <c r="H124" s="6"/>
      <c r="I124" s="6"/>
      <c r="J124" s="9"/>
      <c r="K124" s="11"/>
    </row>
    <row r="125" spans="3:11" x14ac:dyDescent="0.35">
      <c r="D125" s="11"/>
      <c r="E125" s="11"/>
      <c r="F125" s="11"/>
      <c r="G125" s="11"/>
      <c r="H125" s="6"/>
      <c r="I125" s="6"/>
      <c r="J125" s="9"/>
      <c r="K125" s="11"/>
    </row>
    <row r="126" spans="3:11" x14ac:dyDescent="0.35">
      <c r="D126" s="12"/>
      <c r="E126" s="12"/>
      <c r="F126" s="12"/>
      <c r="G126" s="12"/>
      <c r="H126" s="12"/>
      <c r="I126" s="6"/>
      <c r="J126" s="9"/>
      <c r="K126" s="11"/>
    </row>
    <row r="127" spans="3:11" x14ac:dyDescent="0.35">
      <c r="D127" s="6"/>
      <c r="E127" s="6"/>
      <c r="F127" s="6"/>
      <c r="G127" s="6"/>
      <c r="H127" s="6"/>
      <c r="I127" s="6"/>
      <c r="J127" s="9"/>
      <c r="K127" s="11"/>
    </row>
    <row r="128" spans="3:11" x14ac:dyDescent="0.35">
      <c r="D128" s="6"/>
      <c r="E128" s="6"/>
      <c r="F128" s="6"/>
      <c r="G128" s="6"/>
      <c r="H128" s="6"/>
      <c r="I128" s="6"/>
      <c r="J128" s="9"/>
      <c r="K128" s="11"/>
    </row>
    <row r="129" spans="3:11" x14ac:dyDescent="0.35">
      <c r="D129" s="6"/>
      <c r="E129" s="6"/>
      <c r="F129" s="6"/>
      <c r="G129" s="6"/>
      <c r="H129" s="6"/>
      <c r="I129" s="6"/>
      <c r="J129" s="9"/>
      <c r="K129" s="11"/>
    </row>
    <row r="130" spans="3:11" x14ac:dyDescent="0.35">
      <c r="D130" s="6"/>
      <c r="E130" s="6"/>
      <c r="F130" s="6"/>
      <c r="G130" s="6"/>
      <c r="H130" s="6"/>
      <c r="I130" s="6"/>
      <c r="J130" s="9"/>
      <c r="K130" s="11"/>
    </row>
    <row r="131" spans="3:11" x14ac:dyDescent="0.35">
      <c r="D131" s="6"/>
      <c r="E131" s="6"/>
      <c r="F131" s="6"/>
      <c r="G131" s="6"/>
      <c r="H131" s="6"/>
      <c r="I131" s="6"/>
      <c r="J131" s="9"/>
      <c r="K131" s="11"/>
    </row>
    <row r="133" spans="3:11" x14ac:dyDescent="0.35">
      <c r="C133" s="1" t="s">
        <v>66</v>
      </c>
    </row>
    <row r="134" spans="3:11" x14ac:dyDescent="0.35">
      <c r="C134" s="1" t="s">
        <v>15</v>
      </c>
      <c r="D134" s="1" t="s">
        <v>63</v>
      </c>
      <c r="E134" s="1" t="s">
        <v>62</v>
      </c>
      <c r="F134" s="1" t="s">
        <v>64</v>
      </c>
      <c r="G134" s="1" t="s">
        <v>65</v>
      </c>
      <c r="H134" s="1" t="s">
        <v>67</v>
      </c>
      <c r="I134" s="1" t="s">
        <v>14</v>
      </c>
    </row>
    <row r="135" spans="3:11" x14ac:dyDescent="0.35">
      <c r="C135" s="4">
        <v>2</v>
      </c>
      <c r="D135" s="4">
        <v>28</v>
      </c>
      <c r="E135" s="4">
        <v>28</v>
      </c>
      <c r="F135" s="4">
        <v>28</v>
      </c>
      <c r="G135" s="4">
        <v>1</v>
      </c>
      <c r="H135" s="4">
        <f>SUM(F135:G135)</f>
        <v>29</v>
      </c>
      <c r="I135" s="4">
        <f>1-H135/D135</f>
        <v>-3.5714285714285809E-2</v>
      </c>
    </row>
    <row r="136" spans="3:11" x14ac:dyDescent="0.35">
      <c r="C136" s="4">
        <v>3</v>
      </c>
      <c r="D136" s="4">
        <v>44855</v>
      </c>
      <c r="E136" s="4">
        <v>46766</v>
      </c>
      <c r="F136" s="4">
        <v>28618</v>
      </c>
      <c r="G136" s="4">
        <v>3511</v>
      </c>
      <c r="H136" s="4">
        <f t="shared" ref="H136:H137" si="29">SUM(F136:G136)</f>
        <v>32129</v>
      </c>
      <c r="I136" s="4">
        <f t="shared" ref="I136:I137" si="30">1-H136/D136</f>
        <v>0.28371419016832011</v>
      </c>
    </row>
    <row r="137" spans="3:11" x14ac:dyDescent="0.35">
      <c r="C137" s="4">
        <v>4</v>
      </c>
      <c r="D137" s="4"/>
      <c r="E137" s="4"/>
      <c r="F137" s="4"/>
      <c r="G137" s="4"/>
      <c r="H137" s="4">
        <f t="shared" si="29"/>
        <v>0</v>
      </c>
      <c r="I137" s="4" t="e">
        <f t="shared" si="30"/>
        <v>#DIV/0!</v>
      </c>
    </row>
    <row r="139" spans="3:11" x14ac:dyDescent="0.35">
      <c r="C139" s="1" t="s">
        <v>66</v>
      </c>
    </row>
    <row r="140" spans="3:11" x14ac:dyDescent="0.35">
      <c r="C140" s="1" t="s">
        <v>15</v>
      </c>
      <c r="D140" s="1" t="s">
        <v>68</v>
      </c>
      <c r="E140" s="1" t="s">
        <v>69</v>
      </c>
      <c r="F140" s="1" t="s">
        <v>70</v>
      </c>
      <c r="G140" s="1" t="s">
        <v>71</v>
      </c>
      <c r="H140" s="1" t="s">
        <v>72</v>
      </c>
      <c r="I140" s="1" t="s">
        <v>14</v>
      </c>
    </row>
    <row r="141" spans="3:11" x14ac:dyDescent="0.35">
      <c r="C141" s="4">
        <v>2</v>
      </c>
      <c r="D141" s="4">
        <v>28</v>
      </c>
      <c r="E141" s="4">
        <v>29</v>
      </c>
      <c r="F141" s="4">
        <v>24</v>
      </c>
      <c r="G141" s="4">
        <v>1</v>
      </c>
      <c r="H141" s="4">
        <f>SUM(F141:G141)</f>
        <v>25</v>
      </c>
      <c r="I141" s="4">
        <f>1-H141/D141</f>
        <v>0.1071428571428571</v>
      </c>
    </row>
    <row r="142" spans="3:11" x14ac:dyDescent="0.35">
      <c r="C142" s="4">
        <v>3</v>
      </c>
      <c r="D142" s="4">
        <v>46056</v>
      </c>
      <c r="E142" s="4">
        <v>49082</v>
      </c>
      <c r="F142" s="4">
        <v>13960</v>
      </c>
      <c r="G142" s="4">
        <v>6977</v>
      </c>
      <c r="H142" s="4">
        <f t="shared" ref="H142:H143" si="31">SUM(F142:G142)</f>
        <v>20937</v>
      </c>
      <c r="I142" s="4">
        <f t="shared" ref="I142:I143" si="32">1-H142/D142</f>
        <v>0.54540125065138101</v>
      </c>
    </row>
    <row r="143" spans="3:11" x14ac:dyDescent="0.35">
      <c r="C143" s="4">
        <v>4</v>
      </c>
      <c r="D143" s="4"/>
      <c r="E143" s="4"/>
      <c r="F143" s="4"/>
      <c r="G143" s="4"/>
      <c r="H143" s="4">
        <f t="shared" si="31"/>
        <v>0</v>
      </c>
      <c r="I143" s="4" t="e">
        <f t="shared" si="32"/>
        <v>#DIV/0!</v>
      </c>
    </row>
    <row r="145" spans="3:9" x14ac:dyDescent="0.35">
      <c r="C145" s="1" t="s">
        <v>66</v>
      </c>
    </row>
    <row r="146" spans="3:9" x14ac:dyDescent="0.35">
      <c r="C146" s="1" t="s">
        <v>15</v>
      </c>
      <c r="D146" s="1" t="s">
        <v>77</v>
      </c>
      <c r="E146" s="1" t="s">
        <v>76</v>
      </c>
      <c r="F146" s="1" t="s">
        <v>75</v>
      </c>
      <c r="G146" s="1" t="s">
        <v>74</v>
      </c>
      <c r="H146" s="1" t="s">
        <v>73</v>
      </c>
      <c r="I146" s="1" t="s">
        <v>14</v>
      </c>
    </row>
    <row r="147" spans="3:9" x14ac:dyDescent="0.35">
      <c r="C147" s="4">
        <v>2</v>
      </c>
      <c r="D147" s="4">
        <v>28</v>
      </c>
      <c r="E147" s="4">
        <v>30</v>
      </c>
      <c r="F147" s="4">
        <v>21</v>
      </c>
      <c r="G147" s="4">
        <v>2</v>
      </c>
      <c r="H147" s="4">
        <f>SUM(F147:G147)</f>
        <v>23</v>
      </c>
      <c r="I147" s="4">
        <f>1-H147/D147</f>
        <v>0.1785714285714286</v>
      </c>
    </row>
    <row r="148" spans="3:9" x14ac:dyDescent="0.35">
      <c r="C148" s="4">
        <v>3</v>
      </c>
      <c r="D148" s="4">
        <v>46239</v>
      </c>
      <c r="E148" s="4">
        <v>49372</v>
      </c>
      <c r="F148" s="4">
        <v>13644</v>
      </c>
      <c r="G148" s="4">
        <v>7072</v>
      </c>
      <c r="H148" s="4">
        <f t="shared" ref="H148:H149" si="33">SUM(F148:G148)</f>
        <v>20716</v>
      </c>
      <c r="I148" s="4">
        <f t="shared" ref="I148:I149" si="34">1-H148/D148</f>
        <v>0.55197993036181581</v>
      </c>
    </row>
    <row r="149" spans="3:9" x14ac:dyDescent="0.35">
      <c r="C149" s="4">
        <v>4</v>
      </c>
      <c r="D149" s="4"/>
      <c r="E149" s="4"/>
      <c r="F149" s="4"/>
      <c r="G149" s="4"/>
      <c r="H149" s="4">
        <f t="shared" si="33"/>
        <v>0</v>
      </c>
      <c r="I149" s="4" t="e">
        <f t="shared" si="34"/>
        <v>#DIV/0!</v>
      </c>
    </row>
    <row r="151" spans="3:9" x14ac:dyDescent="0.35">
      <c r="C151" s="1" t="s">
        <v>66</v>
      </c>
    </row>
    <row r="152" spans="3:9" x14ac:dyDescent="0.35">
      <c r="C152" s="1" t="s">
        <v>15</v>
      </c>
      <c r="D152" s="1" t="s">
        <v>78</v>
      </c>
      <c r="E152" s="1" t="s">
        <v>79</v>
      </c>
      <c r="F152" s="1" t="s">
        <v>80</v>
      </c>
      <c r="G152" s="1" t="s">
        <v>81</v>
      </c>
      <c r="H152" s="1" t="s">
        <v>82</v>
      </c>
      <c r="I152" s="1" t="s">
        <v>14</v>
      </c>
    </row>
    <row r="153" spans="3:9" x14ac:dyDescent="0.35">
      <c r="C153" s="4">
        <v>2</v>
      </c>
      <c r="D153" s="4">
        <v>28</v>
      </c>
      <c r="E153" s="4">
        <v>31</v>
      </c>
      <c r="F153" s="4">
        <v>19</v>
      </c>
      <c r="G153" s="4">
        <v>3</v>
      </c>
      <c r="H153" s="4">
        <f>SUM(F153:G153)</f>
        <v>22</v>
      </c>
      <c r="I153" s="4">
        <f>1-H153/D153</f>
        <v>0.2142857142857143</v>
      </c>
    </row>
    <row r="154" spans="3:9" x14ac:dyDescent="0.35">
      <c r="C154" s="4">
        <v>3</v>
      </c>
      <c r="D154" s="4">
        <v>46182</v>
      </c>
      <c r="E154" s="4">
        <v>49305</v>
      </c>
      <c r="F154" s="4">
        <v>13561</v>
      </c>
      <c r="G154" s="4">
        <v>7065</v>
      </c>
      <c r="H154" s="4">
        <f t="shared" ref="H154:H155" si="35">SUM(F154:G154)</f>
        <v>20626</v>
      </c>
      <c r="I154" s="4">
        <f t="shared" ref="I154:I155" si="36">1-H154/D154</f>
        <v>0.5533757741111256</v>
      </c>
    </row>
    <row r="155" spans="3:9" x14ac:dyDescent="0.35">
      <c r="C155" s="4">
        <v>4</v>
      </c>
      <c r="D155" s="4"/>
      <c r="E155" s="4"/>
      <c r="F155" s="4"/>
      <c r="G155" s="4"/>
      <c r="H155" s="4">
        <f t="shared" si="35"/>
        <v>0</v>
      </c>
      <c r="I155" s="4" t="e">
        <f t="shared" si="36"/>
        <v>#DIV/0!</v>
      </c>
    </row>
    <row r="157" spans="3:9" x14ac:dyDescent="0.35">
      <c r="C157" s="1" t="s">
        <v>66</v>
      </c>
    </row>
    <row r="158" spans="3:9" x14ac:dyDescent="0.35">
      <c r="C158" s="1" t="s">
        <v>15</v>
      </c>
      <c r="D158" s="1" t="s">
        <v>83</v>
      </c>
      <c r="E158" s="1" t="s">
        <v>84</v>
      </c>
      <c r="F158" s="1" t="s">
        <v>85</v>
      </c>
      <c r="G158" s="1" t="s">
        <v>86</v>
      </c>
      <c r="H158" s="1" t="s">
        <v>87</v>
      </c>
      <c r="I158" s="1" t="s">
        <v>14</v>
      </c>
    </row>
    <row r="159" spans="3:9" x14ac:dyDescent="0.35">
      <c r="C159" s="4">
        <v>2</v>
      </c>
      <c r="D159" s="4">
        <v>28</v>
      </c>
      <c r="E159" s="4">
        <v>30</v>
      </c>
      <c r="F159" s="4">
        <v>18</v>
      </c>
      <c r="G159" s="4">
        <v>3</v>
      </c>
      <c r="H159" s="4">
        <f>SUM(F159:G159)</f>
        <v>21</v>
      </c>
      <c r="I159" s="4">
        <f>1-H159/D159</f>
        <v>0.25</v>
      </c>
    </row>
    <row r="160" spans="3:9" x14ac:dyDescent="0.35">
      <c r="C160" s="4">
        <v>3</v>
      </c>
      <c r="D160" s="4">
        <v>46053</v>
      </c>
      <c r="E160" s="4">
        <v>49149</v>
      </c>
      <c r="F160" s="4">
        <v>13425</v>
      </c>
      <c r="G160" s="4">
        <v>7048</v>
      </c>
      <c r="H160" s="4">
        <f t="shared" ref="H160:H161" si="37">SUM(F160:G160)</f>
        <v>20473</v>
      </c>
      <c r="I160" s="4">
        <f t="shared" ref="I160:I161" si="38">1-H160/D160</f>
        <v>0.55544698499554856</v>
      </c>
    </row>
    <row r="161" spans="3:9" x14ac:dyDescent="0.35">
      <c r="C161" s="4">
        <v>4</v>
      </c>
      <c r="D161" s="4"/>
      <c r="E161" s="4"/>
      <c r="F161" s="4"/>
      <c r="G161" s="4"/>
      <c r="H161" s="4">
        <f t="shared" si="37"/>
        <v>0</v>
      </c>
      <c r="I161" s="4" t="e">
        <f t="shared" si="38"/>
        <v>#DIV/0!</v>
      </c>
    </row>
    <row r="162" spans="3:9" x14ac:dyDescent="0.35">
      <c r="C162" s="4"/>
      <c r="D162" s="4"/>
      <c r="E162" s="4"/>
      <c r="F162" s="4"/>
      <c r="G162" s="4"/>
      <c r="H162" s="4"/>
      <c r="I162" s="4"/>
    </row>
    <row r="163" spans="3:9" x14ac:dyDescent="0.35">
      <c r="C163" s="4" t="s">
        <v>66</v>
      </c>
      <c r="D163" s="4"/>
      <c r="E163" s="4"/>
      <c r="F163" s="4"/>
      <c r="G163" s="4"/>
      <c r="H163" s="4"/>
      <c r="I163" s="4"/>
    </row>
    <row r="164" spans="3:9" x14ac:dyDescent="0.35">
      <c r="C164" s="4" t="s">
        <v>119</v>
      </c>
      <c r="D164" s="1" t="s">
        <v>155</v>
      </c>
      <c r="E164" s="1" t="s">
        <v>156</v>
      </c>
      <c r="F164" s="1" t="s">
        <v>157</v>
      </c>
      <c r="G164" s="1" t="s">
        <v>158</v>
      </c>
      <c r="H164" s="1" t="s">
        <v>159</v>
      </c>
      <c r="I164" s="1" t="s">
        <v>14</v>
      </c>
    </row>
    <row r="165" spans="3:9" x14ac:dyDescent="0.35">
      <c r="C165" s="4">
        <v>1</v>
      </c>
      <c r="D165" s="4">
        <v>28</v>
      </c>
      <c r="E165" s="4">
        <v>28</v>
      </c>
      <c r="F165" s="4">
        <v>28</v>
      </c>
      <c r="G165" s="4">
        <v>1</v>
      </c>
      <c r="H165" s="4">
        <v>29</v>
      </c>
      <c r="I165" s="4">
        <v>-3.5714285714285809E-2</v>
      </c>
    </row>
    <row r="166" spans="3:9" x14ac:dyDescent="0.35">
      <c r="C166" s="4">
        <v>3</v>
      </c>
      <c r="D166" s="4">
        <v>28</v>
      </c>
      <c r="E166" s="4">
        <v>29</v>
      </c>
      <c r="F166" s="4">
        <v>24</v>
      </c>
      <c r="G166" s="4">
        <v>1</v>
      </c>
      <c r="H166" s="4">
        <v>25</v>
      </c>
      <c r="I166" s="4">
        <v>0.1071428571428571</v>
      </c>
    </row>
    <row r="167" spans="3:9" x14ac:dyDescent="0.35">
      <c r="C167" s="4">
        <v>5</v>
      </c>
      <c r="D167" s="4">
        <v>28</v>
      </c>
      <c r="E167" s="4">
        <v>30</v>
      </c>
      <c r="F167" s="4">
        <v>21</v>
      </c>
      <c r="G167" s="4">
        <v>2</v>
      </c>
      <c r="H167" s="4">
        <v>23</v>
      </c>
      <c r="I167" s="4">
        <v>0.1785714285714286</v>
      </c>
    </row>
    <row r="168" spans="3:9" x14ac:dyDescent="0.35">
      <c r="C168" s="4">
        <v>7</v>
      </c>
      <c r="D168" s="4">
        <v>28</v>
      </c>
      <c r="E168" s="4">
        <v>31</v>
      </c>
      <c r="F168" s="4">
        <v>19</v>
      </c>
      <c r="G168" s="4">
        <v>3</v>
      </c>
      <c r="H168" s="4">
        <v>22</v>
      </c>
      <c r="I168" s="4">
        <v>0.2142857142857143</v>
      </c>
    </row>
    <row r="169" spans="3:9" x14ac:dyDescent="0.35">
      <c r="C169" s="4">
        <v>10</v>
      </c>
      <c r="D169" s="4">
        <v>28</v>
      </c>
      <c r="E169" s="4">
        <v>30</v>
      </c>
      <c r="F169" s="4">
        <v>18</v>
      </c>
      <c r="G169" s="4">
        <v>3</v>
      </c>
      <c r="H169" s="4">
        <v>21</v>
      </c>
      <c r="I169" s="4">
        <v>0.25</v>
      </c>
    </row>
    <row r="170" spans="3:9" x14ac:dyDescent="0.35">
      <c r="C170" s="4"/>
      <c r="D170" s="4"/>
      <c r="E170" s="4"/>
      <c r="F170" s="4"/>
      <c r="G170" s="4"/>
      <c r="H170" s="4"/>
      <c r="I170" s="4"/>
    </row>
    <row r="171" spans="3:9" x14ac:dyDescent="0.35">
      <c r="C171" s="4"/>
      <c r="D171" s="4"/>
      <c r="E171" s="4"/>
      <c r="F171" s="4"/>
      <c r="G171" s="4"/>
      <c r="H171" s="4"/>
      <c r="I171" s="4"/>
    </row>
    <row r="173" spans="3:9" x14ac:dyDescent="0.35">
      <c r="C173" s="1" t="s">
        <v>106</v>
      </c>
    </row>
    <row r="174" spans="3:9" x14ac:dyDescent="0.35">
      <c r="C174" s="1" t="s">
        <v>15</v>
      </c>
      <c r="D174" s="1" t="s">
        <v>107</v>
      </c>
      <c r="E174" s="1" t="s">
        <v>108</v>
      </c>
      <c r="F174" s="1" t="s">
        <v>109</v>
      </c>
      <c r="G174" s="1" t="s">
        <v>110</v>
      </c>
      <c r="H174" s="1" t="s">
        <v>111</v>
      </c>
      <c r="I174" s="1" t="s">
        <v>112</v>
      </c>
    </row>
    <row r="175" spans="3:9" x14ac:dyDescent="0.35">
      <c r="C175" s="4">
        <v>2</v>
      </c>
      <c r="D175" s="4">
        <v>560</v>
      </c>
      <c r="E175" s="4">
        <v>560</v>
      </c>
      <c r="F175" s="4">
        <v>560</v>
      </c>
      <c r="G175" s="4">
        <v>0</v>
      </c>
      <c r="H175" s="4">
        <f>G175/D175</f>
        <v>0</v>
      </c>
      <c r="I175" s="4">
        <f>G175/F175</f>
        <v>0</v>
      </c>
    </row>
    <row r="176" spans="3:9" x14ac:dyDescent="0.35">
      <c r="C176" s="4">
        <v>3</v>
      </c>
      <c r="D176" s="4">
        <v>807151</v>
      </c>
      <c r="E176" s="4">
        <v>807151</v>
      </c>
      <c r="F176" s="4">
        <v>515751</v>
      </c>
      <c r="G176" s="4">
        <v>291400</v>
      </c>
      <c r="H176" s="4">
        <f t="shared" ref="H176:H177" si="39">G176/D176</f>
        <v>0.36102290649457164</v>
      </c>
      <c r="I176" s="4">
        <f t="shared" ref="I176:I177" si="40">G176/F176</f>
        <v>0.56500132816029436</v>
      </c>
    </row>
    <row r="177" spans="3:9" x14ac:dyDescent="0.35">
      <c r="C177" s="4">
        <v>4</v>
      </c>
      <c r="D177" s="4"/>
      <c r="E177" s="4"/>
      <c r="F177" s="4"/>
      <c r="G177" s="4"/>
      <c r="H177" s="4" t="e">
        <f t="shared" si="39"/>
        <v>#DIV/0!</v>
      </c>
      <c r="I177" s="4" t="e">
        <f t="shared" si="40"/>
        <v>#DIV/0!</v>
      </c>
    </row>
    <row r="179" spans="3:9" x14ac:dyDescent="0.35">
      <c r="C179" s="1" t="s">
        <v>106</v>
      </c>
    </row>
    <row r="180" spans="3:9" x14ac:dyDescent="0.35">
      <c r="C180" s="1" t="s">
        <v>15</v>
      </c>
      <c r="D180" s="1" t="s">
        <v>129</v>
      </c>
      <c r="E180" s="1" t="s">
        <v>128</v>
      </c>
      <c r="F180" s="1" t="s">
        <v>127</v>
      </c>
      <c r="G180" s="1" t="s">
        <v>126</v>
      </c>
      <c r="H180" s="1" t="s">
        <v>125</v>
      </c>
      <c r="I180" s="1" t="s">
        <v>124</v>
      </c>
    </row>
    <row r="181" spans="3:9" x14ac:dyDescent="0.35">
      <c r="C181" s="4">
        <v>2</v>
      </c>
      <c r="D181" s="4">
        <v>564</v>
      </c>
      <c r="E181" s="4">
        <v>564</v>
      </c>
      <c r="F181" s="4">
        <v>482</v>
      </c>
      <c r="G181" s="4">
        <v>82</v>
      </c>
      <c r="H181" s="4">
        <f>G181/D181</f>
        <v>0.1453900709219858</v>
      </c>
      <c r="I181" s="4">
        <f>G181/F181</f>
        <v>0.17012448132780084</v>
      </c>
    </row>
    <row r="182" spans="3:9" x14ac:dyDescent="0.35">
      <c r="C182" s="4">
        <v>3</v>
      </c>
      <c r="D182" s="4">
        <v>821613</v>
      </c>
      <c r="E182" s="4">
        <v>821613</v>
      </c>
      <c r="F182" s="4">
        <v>255887</v>
      </c>
      <c r="G182" s="4">
        <v>565726</v>
      </c>
      <c r="H182" s="4">
        <f t="shared" ref="H182:H183" si="41">G182/D182</f>
        <v>0.68855531740612674</v>
      </c>
      <c r="I182" s="4">
        <f t="shared" ref="I182:I183" si="42">G182/F182</f>
        <v>2.2108430674477404</v>
      </c>
    </row>
    <row r="183" spans="3:9" x14ac:dyDescent="0.35">
      <c r="C183" s="4">
        <v>4</v>
      </c>
      <c r="D183" s="4"/>
      <c r="E183" s="4"/>
      <c r="F183" s="4"/>
      <c r="G183" s="4"/>
      <c r="H183" s="4" t="e">
        <f t="shared" si="41"/>
        <v>#DIV/0!</v>
      </c>
      <c r="I183" s="4" t="e">
        <f t="shared" si="42"/>
        <v>#DIV/0!</v>
      </c>
    </row>
    <row r="185" spans="3:9" x14ac:dyDescent="0.35">
      <c r="C185" s="1" t="s">
        <v>106</v>
      </c>
    </row>
    <row r="186" spans="3:9" x14ac:dyDescent="0.35">
      <c r="C186" s="1" t="s">
        <v>15</v>
      </c>
      <c r="D186" s="1" t="s">
        <v>130</v>
      </c>
      <c r="E186" s="1" t="s">
        <v>131</v>
      </c>
      <c r="F186" s="1" t="s">
        <v>132</v>
      </c>
      <c r="G186" s="1" t="s">
        <v>133</v>
      </c>
      <c r="H186" s="1" t="s">
        <v>134</v>
      </c>
      <c r="I186" s="1" t="s">
        <v>135</v>
      </c>
    </row>
    <row r="187" spans="3:9" x14ac:dyDescent="0.35">
      <c r="C187" s="4">
        <v>2</v>
      </c>
      <c r="D187" s="4">
        <v>571</v>
      </c>
      <c r="E187" s="4">
        <v>571</v>
      </c>
      <c r="F187" s="4">
        <v>400</v>
      </c>
      <c r="G187" s="4">
        <v>171</v>
      </c>
      <c r="H187" s="4">
        <f>G187/D187</f>
        <v>0.29947460595446584</v>
      </c>
      <c r="I187" s="4">
        <f>G187/F187</f>
        <v>0.42749999999999999</v>
      </c>
    </row>
    <row r="188" spans="3:9" x14ac:dyDescent="0.35">
      <c r="C188" s="4">
        <v>3</v>
      </c>
      <c r="D188" s="4">
        <v>825366</v>
      </c>
      <c r="E188" s="4">
        <v>825366</v>
      </c>
      <c r="F188" s="4">
        <v>250548</v>
      </c>
      <c r="G188" s="4">
        <v>574818</v>
      </c>
      <c r="H188" s="4">
        <f t="shared" ref="H188:H189" si="43">G188/D188</f>
        <v>0.69644012474465877</v>
      </c>
      <c r="I188" s="4">
        <f t="shared" ref="I188:I189" si="44">G188/F188</f>
        <v>2.2942430193016907</v>
      </c>
    </row>
    <row r="189" spans="3:9" x14ac:dyDescent="0.35">
      <c r="C189" s="4">
        <v>4</v>
      </c>
      <c r="D189" s="4"/>
      <c r="E189" s="4"/>
      <c r="F189" s="4"/>
      <c r="G189" s="4"/>
      <c r="H189" s="4" t="e">
        <f t="shared" si="43"/>
        <v>#DIV/0!</v>
      </c>
      <c r="I189" s="4" t="e">
        <f t="shared" si="44"/>
        <v>#DIV/0!</v>
      </c>
    </row>
    <row r="191" spans="3:9" x14ac:dyDescent="0.35">
      <c r="C191" s="1" t="s">
        <v>106</v>
      </c>
    </row>
    <row r="192" spans="3:9" x14ac:dyDescent="0.35">
      <c r="C192" s="1" t="s">
        <v>15</v>
      </c>
      <c r="D192" s="1" t="s">
        <v>141</v>
      </c>
      <c r="E192" s="1" t="s">
        <v>140</v>
      </c>
      <c r="F192" s="1" t="s">
        <v>139</v>
      </c>
      <c r="G192" s="1" t="s">
        <v>138</v>
      </c>
      <c r="H192" s="1" t="s">
        <v>137</v>
      </c>
      <c r="I192" s="1" t="s">
        <v>136</v>
      </c>
    </row>
    <row r="193" spans="3:9" x14ac:dyDescent="0.35">
      <c r="C193" s="4">
        <v>2</v>
      </c>
      <c r="D193" s="4">
        <v>586</v>
      </c>
      <c r="E193" s="4">
        <v>586</v>
      </c>
      <c r="F193" s="4">
        <v>379</v>
      </c>
      <c r="G193" s="4">
        <v>207</v>
      </c>
      <c r="H193" s="4">
        <f>G193/D193</f>
        <v>0.35324232081911261</v>
      </c>
      <c r="I193" s="4">
        <f>G193/F193</f>
        <v>0.54617414248021112</v>
      </c>
    </row>
    <row r="194" spans="3:9" x14ac:dyDescent="0.35">
      <c r="C194" s="4">
        <v>3</v>
      </c>
      <c r="D194" s="4">
        <v>824494</v>
      </c>
      <c r="E194" s="4">
        <v>824494</v>
      </c>
      <c r="F194" s="4">
        <v>249231</v>
      </c>
      <c r="G194" s="4">
        <v>575263</v>
      </c>
      <c r="H194" s="4">
        <f t="shared" ref="H194:H195" si="45">G194/D194</f>
        <v>0.69771641758460345</v>
      </c>
      <c r="I194" s="4">
        <f t="shared" ref="I194:I195" si="46">G194/F194</f>
        <v>2.3081518751680168</v>
      </c>
    </row>
    <row r="195" spans="3:9" x14ac:dyDescent="0.35">
      <c r="C195" s="4">
        <v>4</v>
      </c>
      <c r="D195" s="4"/>
      <c r="E195" s="4"/>
      <c r="F195" s="4"/>
      <c r="G195" s="4"/>
      <c r="H195" s="4" t="e">
        <f t="shared" si="45"/>
        <v>#DIV/0!</v>
      </c>
      <c r="I195" s="4" t="e">
        <f t="shared" si="46"/>
        <v>#DIV/0!</v>
      </c>
    </row>
    <row r="197" spans="3:9" x14ac:dyDescent="0.35">
      <c r="C197" s="1" t="s">
        <v>106</v>
      </c>
    </row>
    <row r="198" spans="3:9" x14ac:dyDescent="0.35">
      <c r="C198" s="1" t="s">
        <v>15</v>
      </c>
      <c r="D198" s="1" t="s">
        <v>142</v>
      </c>
      <c r="E198" s="1" t="s">
        <v>143</v>
      </c>
      <c r="F198" s="1" t="s">
        <v>144</v>
      </c>
      <c r="G198" s="1" t="s">
        <v>145</v>
      </c>
      <c r="H198" s="1" t="s">
        <v>146</v>
      </c>
      <c r="I198" s="1" t="s">
        <v>147</v>
      </c>
    </row>
    <row r="199" spans="3:9" x14ac:dyDescent="0.35">
      <c r="C199" s="4">
        <v>2</v>
      </c>
      <c r="D199" s="4">
        <v>557</v>
      </c>
      <c r="E199" s="4">
        <v>557</v>
      </c>
      <c r="F199" s="4">
        <v>351</v>
      </c>
      <c r="G199" s="4">
        <v>206</v>
      </c>
      <c r="H199" s="4">
        <f>G199/D199</f>
        <v>0.36983842010771995</v>
      </c>
      <c r="I199" s="4">
        <f>G199/F199</f>
        <v>0.58689458689458684</v>
      </c>
    </row>
    <row r="200" spans="3:9" x14ac:dyDescent="0.35">
      <c r="C200" s="4">
        <v>3</v>
      </c>
      <c r="D200" s="4">
        <v>821334</v>
      </c>
      <c r="E200" s="4">
        <v>821334</v>
      </c>
      <c r="F200" s="4">
        <v>246781</v>
      </c>
      <c r="G200" s="4">
        <v>574553</v>
      </c>
      <c r="H200" s="4">
        <f t="shared" ref="H200:H201" si="47">G200/D200</f>
        <v>0.69953636401269159</v>
      </c>
      <c r="I200" s="4">
        <f t="shared" ref="I200:I201" si="48">G200/F200</f>
        <v>2.3281897714978057</v>
      </c>
    </row>
    <row r="201" spans="3:9" x14ac:dyDescent="0.35">
      <c r="C201" s="4">
        <v>4</v>
      </c>
      <c r="D201" s="4"/>
      <c r="E201" s="4"/>
      <c r="F201" s="4"/>
      <c r="G201" s="4"/>
      <c r="H201" s="4" t="e">
        <f t="shared" si="47"/>
        <v>#DIV/0!</v>
      </c>
      <c r="I201" s="4" t="e">
        <f t="shared" si="48"/>
        <v>#DIV/0!</v>
      </c>
    </row>
    <row r="203" spans="3:9" x14ac:dyDescent="0.35">
      <c r="C203" s="1" t="s">
        <v>148</v>
      </c>
    </row>
    <row r="204" spans="3:9" x14ac:dyDescent="0.35">
      <c r="C204" s="1" t="s">
        <v>119</v>
      </c>
      <c r="D204" s="1" t="s">
        <v>149</v>
      </c>
      <c r="E204" s="1" t="s">
        <v>150</v>
      </c>
      <c r="F204" s="1" t="s">
        <v>151</v>
      </c>
      <c r="G204" s="1" t="s">
        <v>152</v>
      </c>
      <c r="H204" s="1" t="s">
        <v>153</v>
      </c>
      <c r="I204" s="1" t="s">
        <v>154</v>
      </c>
    </row>
    <row r="205" spans="3:9" x14ac:dyDescent="0.35">
      <c r="C205" s="1" t="s">
        <v>25</v>
      </c>
      <c r="D205" s="4">
        <v>560</v>
      </c>
      <c r="E205" s="4">
        <v>560</v>
      </c>
      <c r="F205" s="4">
        <v>560</v>
      </c>
      <c r="G205" s="4">
        <v>0</v>
      </c>
      <c r="H205" s="4">
        <v>0</v>
      </c>
      <c r="I205" s="4">
        <v>0</v>
      </c>
    </row>
    <row r="206" spans="3:9" x14ac:dyDescent="0.35">
      <c r="C206" s="1" t="s">
        <v>8</v>
      </c>
      <c r="D206" s="4">
        <v>564</v>
      </c>
      <c r="E206" s="4">
        <v>564</v>
      </c>
      <c r="F206" s="4">
        <v>482</v>
      </c>
      <c r="G206" s="4">
        <v>82</v>
      </c>
      <c r="H206" s="4">
        <v>0.1453900709219858</v>
      </c>
      <c r="I206" s="4">
        <v>0.17012448132780084</v>
      </c>
    </row>
    <row r="207" spans="3:9" x14ac:dyDescent="0.35">
      <c r="C207" s="1" t="s">
        <v>120</v>
      </c>
      <c r="D207" s="4">
        <v>571</v>
      </c>
      <c r="E207" s="4">
        <v>571</v>
      </c>
      <c r="F207" s="4">
        <v>400</v>
      </c>
      <c r="G207" s="4">
        <v>171</v>
      </c>
      <c r="H207" s="4">
        <v>0.29947460595446584</v>
      </c>
      <c r="I207" s="4">
        <v>0.42749999999999999</v>
      </c>
    </row>
    <row r="208" spans="3:9" x14ac:dyDescent="0.35">
      <c r="C208" s="1" t="s">
        <v>121</v>
      </c>
      <c r="D208" s="4">
        <v>586</v>
      </c>
      <c r="E208" s="4">
        <v>586</v>
      </c>
      <c r="F208" s="4">
        <v>379</v>
      </c>
      <c r="G208" s="4">
        <v>207</v>
      </c>
      <c r="H208" s="4">
        <v>0.35324232081911261</v>
      </c>
      <c r="I208" s="4">
        <v>0.54617414248021112</v>
      </c>
    </row>
    <row r="209" spans="3:9" x14ac:dyDescent="0.35">
      <c r="C209" s="1" t="s">
        <v>122</v>
      </c>
      <c r="D209" s="4">
        <v>557</v>
      </c>
      <c r="E209" s="4">
        <v>557</v>
      </c>
      <c r="F209" s="4">
        <v>351</v>
      </c>
      <c r="G209" s="4">
        <v>206</v>
      </c>
      <c r="H209" s="4">
        <v>0.36983842010771995</v>
      </c>
      <c r="I209" s="4">
        <v>0.58689458689458684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Werner</dc:creator>
  <cp:lastModifiedBy>Stefan Werner</cp:lastModifiedBy>
  <dcterms:created xsi:type="dcterms:W3CDTF">2026-04-29T05:59:30Z</dcterms:created>
  <dcterms:modified xsi:type="dcterms:W3CDTF">2026-04-30T08:56:51Z</dcterms:modified>
</cp:coreProperties>
</file>