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F:\FHTechnikum\Semester 5\ReinforcementLearning\Thesis\"/>
    </mc:Choice>
  </mc:AlternateContent>
  <xr:revisionPtr revIDLastSave="0" documentId="8_{9C3F5D55-5220-4E07-BD41-9E4E80101E30}" xr6:coauthVersionLast="47" xr6:coauthVersionMax="47" xr10:uidLastSave="{00000000-0000-0000-0000-000000000000}"/>
  <bookViews>
    <workbookView xWindow="-120" yWindow="-120" windowWidth="29040" windowHeight="15720" xr2:uid="{D4B319D3-4CDC-4AA8-90B4-403CDF3E49C1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4" i="1" l="1"/>
  <c r="M5" i="1"/>
  <c r="M3" i="1"/>
  <c r="G5" i="1"/>
  <c r="G4" i="1"/>
  <c r="G3" i="1"/>
</calcChain>
</file>

<file path=xl/sharedStrings.xml><?xml version="1.0" encoding="utf-8"?>
<sst xmlns="http://schemas.openxmlformats.org/spreadsheetml/2006/main" count="14" uniqueCount="14">
  <si>
    <t>grid_size</t>
  </si>
  <si>
    <t>training without saving</t>
  </si>
  <si>
    <t>normal_q_table</t>
  </si>
  <si>
    <t>split_parent_child</t>
  </si>
  <si>
    <t>reconstruct_q_table</t>
  </si>
  <si>
    <t>Total Time</t>
  </si>
  <si>
    <t>Grid_size</t>
  </si>
  <si>
    <t>2</t>
  </si>
  <si>
    <t>3</t>
  </si>
  <si>
    <t>4</t>
  </si>
  <si>
    <t>times best single out of 1000</t>
  </si>
  <si>
    <t>times best reconstructed out of 1000</t>
  </si>
  <si>
    <t>504</t>
  </si>
  <si>
    <t>496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</si>
</sst>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2" formatCode="0.000000"/>
    <numFmt numFmtId="173" formatCode="0.0000000"/>
    <numFmt numFmtId="178" formatCode="0.000000000000"/>
    <numFmt numFmtId="179" formatCode="0.0000000000000"/>
    <numFmt numFmtId="180" formatCode="0.00000000000000"/>
    <numFmt numFmtId="181" formatCode="0.000000000000000"/>
    <numFmt numFmtId="182" formatCode="0.0000000000000000"/>
    <numFmt numFmtId="183" formatCode="0.00000000000000000"/>
  </numFmts>
  <fonts count="3" x14ac:knownFonts="1">
    <font>
      <sz val="11"/>
      <color theme="1"/>
      <name val="Aptos Narrow"/>
      <family val="2"/>
      <scheme val="minor"/>
    </font>
    <font>
      <sz val="11"/>
      <name val="Consolas"/>
      <family val="3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2" fillId="0" borderId="0" xfId="0" applyNumberFormat="1" applyFont="1"/>
    <xf numFmtId="172" fontId="1" fillId="0" borderId="0" xfId="0" applyNumberFormat="1" applyFont="1" applyAlignment="1">
      <alignment vertical="center"/>
    </xf>
    <xf numFmtId="173" fontId="1" fillId="0" borderId="0" xfId="0" applyNumberFormat="1" applyFont="1" applyAlignment="1">
      <alignment vertical="center"/>
    </xf>
    <xf numFmtId="2" fontId="2" fillId="0" borderId="0" xfId="0" applyNumberFormat="1" applyFont="1"/>
    <xf numFmtId="173" fontId="2" fillId="0" borderId="0" xfId="0" applyNumberFormat="1" applyFont="1"/>
    <xf numFmtId="178" fontId="2" fillId="0" borderId="0" xfId="0" applyNumberFormat="1" applyFont="1"/>
    <xf numFmtId="179" fontId="2" fillId="0" borderId="0" xfId="0" applyNumberFormat="1" applyFont="1"/>
    <xf numFmtId="180" fontId="2" fillId="0" borderId="0" xfId="0" applyNumberFormat="1" applyFont="1"/>
    <xf numFmtId="181" fontId="2" fillId="0" borderId="0" xfId="0" applyNumberFormat="1" applyFont="1"/>
    <xf numFmtId="182" fontId="2" fillId="0" borderId="0" xfId="0" applyNumberFormat="1" applyFont="1"/>
    <xf numFmtId="183" fontId="2" fillId="0" borderId="0" xfId="0" applyNumberFormat="1" applyFon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Relative Time Duration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Tabelle1!$C$2</c:f>
              <c:strCache>
                <c:ptCount val="1"/>
                <c:pt idx="0">
                  <c:v>training without saving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Tabelle1!$C$3:$C$5</c:f>
              <c:numCache>
                <c:formatCode>0.0000000000000</c:formatCode>
                <c:ptCount val="3"/>
                <c:pt idx="0" formatCode="0.00000000000000">
                  <c:v>8.8077797000074707</c:v>
                </c:pt>
                <c:pt idx="1">
                  <c:v>30.133588899989199</c:v>
                </c:pt>
                <c:pt idx="2" formatCode="0.000000">
                  <c:v>136.23701199999999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28-4F3C-B315-6B68A4EF1C4C}"/>
            </c:ext>
          </c:extLst>
        </c:ser>
        <c:ser>
          <c:idx val="1"/>
          <c:order val="1"/>
          <c:tx>
            <c:strRef>
              <c:f>Tabelle1!$D$2</c:f>
              <c:strCache>
                <c:ptCount val="1"/>
                <c:pt idx="0">
                  <c:v>normal_q_table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Tabelle1!$D$3:$D$5</c:f>
              <c:numCache>
                <c:formatCode>0.000000000000000</c:formatCode>
                <c:ptCount val="3"/>
                <c:pt idx="0" formatCode="0.00000000000000000">
                  <c:v>1.68489999487064E-3</c:v>
                </c:pt>
                <c:pt idx="1">
                  <c:v>0.88624789999448605</c:v>
                </c:pt>
                <c:pt idx="2" formatCode="0.0000000">
                  <c:v>6.9733061000000003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28-4F3C-B315-6B68A4EF1C4C}"/>
            </c:ext>
          </c:extLst>
        </c:ser>
        <c:ser>
          <c:idx val="2"/>
          <c:order val="2"/>
          <c:tx>
            <c:strRef>
              <c:f>Tabelle1!$E$2</c:f>
              <c:strCache>
                <c:ptCount val="1"/>
                <c:pt idx="0">
                  <c:v>split_parent_child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Tabelle1!$E$3:$E$5</c:f>
              <c:numCache>
                <c:formatCode>0.000000000000</c:formatCode>
                <c:ptCount val="3"/>
                <c:pt idx="0" formatCode="0.000000000000000">
                  <c:v>0.27619350000168102</c:v>
                </c:pt>
                <c:pt idx="1">
                  <c:v>222.725339099997</c:v>
                </c:pt>
                <c:pt idx="2" formatCode="0.0000000">
                  <c:v>4734.7241799000003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728-4F3C-B315-6B68A4EF1C4C}"/>
            </c:ext>
          </c:extLst>
        </c:ser>
        <c:ser>
          <c:idx val="3"/>
          <c:order val="3"/>
          <c:tx>
            <c:strRef>
              <c:f>Tabelle1!$F$2</c:f>
              <c:strCache>
                <c:ptCount val="1"/>
                <c:pt idx="0">
                  <c:v>reconstruct_q_table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Tabelle1!$F$3:$F$5</c:f>
              <c:numCache>
                <c:formatCode>0.0000000000000</c:formatCode>
                <c:ptCount val="3"/>
                <c:pt idx="0" formatCode="0.0000000000000000">
                  <c:v>2.6017899988801201E-2</c:v>
                </c:pt>
                <c:pt idx="1">
                  <c:v>24.912094699990099</c:v>
                </c:pt>
                <c:pt idx="2" formatCode="0.0000000">
                  <c:v>30.389463299999999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728-4F3C-B315-6B68A4EF1C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301742976"/>
        <c:axId val="1301752096"/>
      </c:barChart>
      <c:catAx>
        <c:axId val="1301742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Grid</a:t>
                </a:r>
                <a:r>
                  <a:rPr lang="de-AT" baseline="0"/>
                  <a:t>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752096"/>
        <c:crosses val="autoZero"/>
        <c:auto val="1"/>
        <c:lblAlgn val="ctr"/>
        <c:lblOffset val="100"/>
        <c:noMultiLvlLbl val="0"/>
      </c:catAx>
      <c:valAx>
        <c:axId val="130175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Time Percentage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74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Tabelle1!$E$2</c:f>
              <c:strCache>
                <c:ptCount val="1"/>
                <c:pt idx="0">
                  <c:v>split_parent_child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Tabelle1!$E$3:$E$5</c:f>
              <c:numCache>
                <c:formatCode>0.000000000000</c:formatCode>
                <c:ptCount val="3"/>
                <c:pt idx="0" formatCode="0.000000000000000">
                  <c:v>0.27619350000168102</c:v>
                </c:pt>
                <c:pt idx="1">
                  <c:v>222.725339099997</c:v>
                </c:pt>
                <c:pt idx="2" formatCode="0.0000000">
                  <c:v>4734.7241799000003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7D-4DBC-B807-341C4B4B2DE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01693056"/>
        <c:axId val="1301690176"/>
      </c:barChart>
      <c:catAx>
        <c:axId val="13016930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Grid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90176"/>
        <c:crosses val="autoZero"/>
        <c:auto val="1"/>
        <c:lblAlgn val="ctr"/>
        <c:lblOffset val="100"/>
        <c:noMultiLvlLbl val="0"/>
      </c:catAx>
      <c:valAx>
        <c:axId val="130169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93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Tabelle1!$F$2</c:f>
              <c:strCache>
                <c:ptCount val="1"/>
                <c:pt idx="0">
                  <c:v>reconstruct_q_table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Tabelle1!$F$3:$F$5</c:f>
              <c:numCache>
                <c:formatCode>0.0000000000000</c:formatCode>
                <c:ptCount val="3"/>
                <c:pt idx="0" formatCode="0.0000000000000000">
                  <c:v>2.6017899988801201E-2</c:v>
                </c:pt>
                <c:pt idx="1">
                  <c:v>24.912094699990099</c:v>
                </c:pt>
                <c:pt idx="2" formatCode="0.0000000">
                  <c:v>30.389463299999999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72E-4B6B-9197-EF4EA9F2823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01679616"/>
        <c:axId val="1301687776"/>
      </c:barChart>
      <c:catAx>
        <c:axId val="1301679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Grid</a:t>
                </a:r>
                <a:r>
                  <a:rPr lang="de-AT" baseline="0"/>
                  <a:t>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87776"/>
        <c:crosses val="autoZero"/>
        <c:auto val="1"/>
        <c:lblAlgn val="ctr"/>
        <c:lblOffset val="100"/>
        <c:noMultiLvlLbl val="0"/>
      </c:catAx>
      <c:valAx>
        <c:axId val="1301687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Time in</a:t>
                </a:r>
                <a:r>
                  <a:rPr lang="de-AT" baseline="0"/>
                  <a:t> Seconds</a:t>
                </a:r>
                <a:endParaRPr lang="de-AT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79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AT"/>
              <a:t>Total Time For each Grid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Tabelle1!$G$2</c:f>
              <c:strCache>
                <c:ptCount val="1"/>
                <c:pt idx="0">
                  <c:v>Total Time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Tabelle1!$B$3:$B$5</c:f>
              <c:numCache>
                <c:formatCode>@</c:formatCode>
                <c:ptCount val="3"/>
                <c:pt idx="0">
                  <c:v>2</c:v>
                </c:pt>
                <c:pt idx="1">
                  <c:v>3</c:v>
                </c:pt>
                <c:pt idx="2">
                  <c:v>4</c:v>
                </c:pt>
              </c:numCache>
            </c:numRef>
          </c:cat>
          <c:val>
            <c:numRef>
              <c:f>Tabelle1!$G$3:$G$5</c:f>
              <c:numCache>
                <c:formatCode>0.000000000000</c:formatCode>
                <c:ptCount val="3"/>
                <c:pt idx="0" formatCode="0.00000000000000">
                  <c:v>9.1116759999928227</c:v>
                </c:pt>
                <c:pt idx="1">
                  <c:v>278.65727059997079</c:v>
                </c:pt>
                <c:pt idx="2" formatCode="0.0000000">
                  <c:v>4908.3239613000005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0D-4EFB-AB01-2DA8AA42969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01689216"/>
        <c:axId val="1301677216"/>
      </c:barChart>
      <c:catAx>
        <c:axId val="13016892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Grid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77216"/>
        <c:crosses val="autoZero"/>
        <c:auto val="1"/>
        <c:lblAlgn val="ctr"/>
        <c:lblOffset val="100"/>
        <c:noMultiLvlLbl val="0"/>
      </c:catAx>
      <c:valAx>
        <c:axId val="130167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AT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01689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28575</xdr:colOff>
      <xdr:row>6</xdr:row>
      <xdr:rowOff>0</xdr:rowOff>
    </xdr:from>
    <xdr:to>
      <xdr:col>5</xdr:col>
      <xdr:colOff>1657350</xdr:colOff>
      <xdr:row>26</xdr:row>
      <xdr:rowOff>28575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910527E-1A3B-C1A4-7FAF-C481B86E01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1976437</xdr:colOff>
      <xdr:row>6</xdr:row>
      <xdr:rowOff>71436</xdr:rowOff>
    </xdr:from>
    <xdr:to>
      <xdr:col>12</xdr:col>
      <xdr:colOff>28575</xdr:colOff>
      <xdr:row>23</xdr:row>
      <xdr:rowOff>95249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1C20A995-9D51-0071-4BE8-5AB28E8307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9525</xdr:colOff>
      <xdr:row>24</xdr:row>
      <xdr:rowOff>80961</xdr:rowOff>
    </xdr:from>
    <xdr:to>
      <xdr:col>12</xdr:col>
      <xdr:colOff>9525</xdr:colOff>
      <xdr:row>41</xdr:row>
      <xdr:rowOff>47624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9E6E65BF-D9AD-8951-2DA0-B78BA2202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76200</xdr:colOff>
      <xdr:row>26</xdr:row>
      <xdr:rowOff>176212</xdr:rowOff>
    </xdr:from>
    <xdr:to>
      <xdr:col>5</xdr:col>
      <xdr:colOff>1666875</xdr:colOff>
      <xdr:row>49</xdr:row>
      <xdr:rowOff>171450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038E0867-EE84-30CD-0CAD-FB966C4BBA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2CF9C-842D-4575-AB2D-33AA7D99E5F5}">
  <dimension ref="B2:M5"/>
  <sheetViews>
    <sheetView tabSelected="1" zoomScale="70" zoomScaleNormal="70" workbookViewId="0">
      <selection activeCell="L6" sqref="L6"/>
    </sheetView>
  </sheetViews>
  <sheetFormatPr baseColWidth="10" defaultRowHeight="15" x14ac:dyDescent="0.25"/>
  <cols>
    <col min="1" max="2" width="11.42578125" style="1"/>
    <col min="3" max="3" width="28.140625" style="1" customWidth="1"/>
    <col min="4" max="4" width="27.7109375" style="1" customWidth="1"/>
    <col min="5" max="5" width="36.5703125" style="1" customWidth="1"/>
    <col min="6" max="6" width="30.28515625" style="1" customWidth="1"/>
    <col min="7" max="7" width="25.7109375" style="1" customWidth="1"/>
    <col min="8" max="10" width="11.42578125" style="1"/>
    <col min="11" max="11" width="27.140625" style="1" customWidth="1"/>
    <col min="12" max="12" width="34.28515625" style="1" customWidth="1"/>
    <col min="13" max="16384" width="11.42578125" style="1"/>
  </cols>
  <sheetData>
    <row r="2" spans="2:13" x14ac:dyDescent="0.25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4" t="s">
        <v>5</v>
      </c>
      <c r="J2" s="1" t="s">
        <v>6</v>
      </c>
      <c r="K2" s="1" t="s">
        <v>10</v>
      </c>
      <c r="L2" s="1" t="s">
        <v>11</v>
      </c>
    </row>
    <row r="3" spans="2:13" x14ac:dyDescent="0.25">
      <c r="B3" s="1">
        <v>2</v>
      </c>
      <c r="C3" s="8">
        <v>8.8077797000074707</v>
      </c>
      <c r="D3" s="11">
        <v>1.68489999487064E-3</v>
      </c>
      <c r="E3" s="9">
        <v>0.27619350000168102</v>
      </c>
      <c r="F3" s="10">
        <v>2.6017899988801201E-2</v>
      </c>
      <c r="G3" s="8">
        <f>SUM(C3:F3)</f>
        <v>9.1116759999928227</v>
      </c>
      <c r="J3" s="4" t="s">
        <v>7</v>
      </c>
      <c r="K3" s="4" t="s">
        <v>12</v>
      </c>
      <c r="L3" s="4" t="s">
        <v>13</v>
      </c>
      <c r="M3" s="4">
        <f>K3+L3</f>
        <v>1000</v>
      </c>
    </row>
    <row r="4" spans="2:13" x14ac:dyDescent="0.25">
      <c r="B4" s="1">
        <v>3</v>
      </c>
      <c r="C4" s="7">
        <v>30.133588899989199</v>
      </c>
      <c r="D4" s="9">
        <v>0.88624789999448605</v>
      </c>
      <c r="E4" s="6">
        <v>222.725339099997</v>
      </c>
      <c r="F4" s="7">
        <v>24.912094699990099</v>
      </c>
      <c r="G4" s="6">
        <f>SUM(C4:F4)</f>
        <v>278.65727059997079</v>
      </c>
      <c r="J4" s="4" t="s">
        <v>8</v>
      </c>
      <c r="K4" s="4">
        <v>499</v>
      </c>
      <c r="L4" s="4">
        <v>501</v>
      </c>
      <c r="M4" s="4">
        <f t="shared" ref="M4:M5" si="0">K4+L4</f>
        <v>1000</v>
      </c>
    </row>
    <row r="5" spans="2:13" x14ac:dyDescent="0.25">
      <c r="B5" s="1">
        <v>4</v>
      </c>
      <c r="C5" s="2">
        <v>136.23701199999999</v>
      </c>
      <c r="D5" s="5">
        <v>6.9733061000000003</v>
      </c>
      <c r="E5" s="3">
        <v>4734.7241799000003</v>
      </c>
      <c r="F5" s="3">
        <v>30.389463299999999</v>
      </c>
      <c r="G5" s="5">
        <f>SUM(C5:F5)</f>
        <v>4908.3239613000005</v>
      </c>
      <c r="J5" s="4" t="s">
        <v>9</v>
      </c>
      <c r="K5" s="4">
        <v>512</v>
      </c>
      <c r="L5" s="4">
        <v>488</v>
      </c>
      <c r="M5" s="4">
        <f t="shared" si="0"/>
        <v>1000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 Werner</dc:creator>
  <cp:lastModifiedBy>Stefan Werner</cp:lastModifiedBy>
  <dcterms:created xsi:type="dcterms:W3CDTF">2026-04-29T05:59:30Z</dcterms:created>
  <dcterms:modified xsi:type="dcterms:W3CDTF">2026-04-29T06:59:26Z</dcterms:modified>
</cp:coreProperties>
</file>